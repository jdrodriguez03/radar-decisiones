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_REDUCIDA" sheetId="1" state="visible" r:id="rId3"/>
    <sheet name="Diccionario" sheetId="2" state="visible" r:id="rId4"/>
    <sheet name="Escala_motivos" sheetId="3" state="visible" r:id="rId5"/>
    <sheet name="Notas" sheetId="4" state="visible" r:id="rId6"/>
  </sheets>
  <definedNames>
    <definedName function="false" hidden="true" localSheetId="0" name="_xlnm._FilterDatabase" vbProcedure="false">BASE_REDUCIDA!$A$1:$BS$281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<sst xmlns="http://schemas.openxmlformats.org/spreadsheetml/2006/main" count="3331" uniqueCount="356">
  <si>
    <t xml:space="preserve">empresa</t>
  </si>
  <si>
    <t xml:space="preserve">periodo</t>
  </si>
  <si>
    <t xml:space="preserve">orden_periodo</t>
  </si>
  <si>
    <t xml:space="preserve">plantilla_op</t>
  </si>
  <si>
    <t xml:space="preserve">plantilla_adm</t>
  </si>
  <si>
    <t xml:space="preserve">tier_grupo</t>
  </si>
  <si>
    <t xml:space="preserve">sindicato</t>
  </si>
  <si>
    <t xml:space="preserve">traslado_op</t>
  </si>
  <si>
    <t xml:space="preserve">rot_vol_op</t>
  </si>
  <si>
    <t xml:space="preserve">aus_inj_op</t>
  </si>
  <si>
    <t xml:space="preserve">aus_inj_cens</t>
  </si>
  <si>
    <t xml:space="preserve">dias_contratar_op</t>
  </si>
  <si>
    <t xml:space="preserve">rot_inv_op</t>
  </si>
  <si>
    <t xml:space="preserve">rot_inv_cens</t>
  </si>
  <si>
    <t xml:space="preserve">bajas_op</t>
  </si>
  <si>
    <t xml:space="preserve">tasa_bajas_op_bim</t>
  </si>
  <si>
    <t xml:space="preserve">contrat_total</t>
  </si>
  <si>
    <t xml:space="preserve">contrat_reemplazo</t>
  </si>
  <si>
    <t xml:space="preserve">faltas_inj_op</t>
  </si>
  <si>
    <t xml:space="preserve">tasa_faltas_inj_op_bim</t>
  </si>
  <si>
    <t xml:space="preserve">inc_sal_op</t>
  </si>
  <si>
    <t xml:space="preserve">vales_op</t>
  </si>
  <si>
    <t xml:space="preserve">fondo_op</t>
  </si>
  <si>
    <t xml:space="preserve">bono_asist</t>
  </si>
  <si>
    <t xml:space="preserve">bono_asist_cens</t>
  </si>
  <si>
    <t xml:space="preserve">transporte</t>
  </si>
  <si>
    <t xml:space="preserve">rutas</t>
  </si>
  <si>
    <t xml:space="preserve">rutas_cens</t>
  </si>
  <si>
    <t xml:space="preserve">rutas_x100</t>
  </si>
  <si>
    <t xml:space="preserve">costo_transp</t>
  </si>
  <si>
    <t xml:space="preserve">escolar_op</t>
  </si>
  <si>
    <t xml:space="preserve">bono_perm</t>
  </si>
  <si>
    <t xml:space="preserve">sal_dia_ini</t>
  </si>
  <si>
    <t xml:space="preserve">sal_dia_ib</t>
  </si>
  <si>
    <t xml:space="preserve">sal_dia_ia</t>
  </si>
  <si>
    <t xml:space="preserve">sal_dia_max</t>
  </si>
  <si>
    <t xml:space="preserve">aguinaldo_op</t>
  </si>
  <si>
    <t xml:space="preserve">prima_vac_op</t>
  </si>
  <si>
    <t xml:space="preserve">comedor</t>
  </si>
  <si>
    <t xml:space="preserve">comedor_empresa</t>
  </si>
  <si>
    <t xml:space="preserve">jornada_12h</t>
  </si>
  <si>
    <t xml:space="preserve">rota_turno</t>
  </si>
  <si>
    <t xml:space="preserve">transp_uso</t>
  </si>
  <si>
    <t xml:space="preserve">m_sueldo</t>
  </si>
  <si>
    <t xml:space="preserve">m_prest</t>
  </si>
  <si>
    <t xml:space="preserve">m_ruta</t>
  </si>
  <si>
    <t xml:space="preserve">m_cerca</t>
  </si>
  <si>
    <t xml:space="preserve">m_horario</t>
  </si>
  <si>
    <t xml:space="preserve">m_horcomp</t>
  </si>
  <si>
    <t xml:space="preserve">m_companeros</t>
  </si>
  <si>
    <t xml:space="preserve">m_jefe</t>
  </si>
  <si>
    <t xml:space="preserve">m_rendimiento</t>
  </si>
  <si>
    <t xml:space="preserve">m_fin_contrato</t>
  </si>
  <si>
    <t xml:space="preserve">m_residencia</t>
  </si>
  <si>
    <t xml:space="preserve">m_familia</t>
  </si>
  <si>
    <t xml:space="preserve">m_enfermedad</t>
  </si>
  <si>
    <t xml:space="preserve">m_estudios</t>
  </si>
  <si>
    <t xml:space="preserve">m_negocio</t>
  </si>
  <si>
    <t xml:space="preserve">m_inseguridad</t>
  </si>
  <si>
    <t xml:space="preserve">m_cuidados</t>
  </si>
  <si>
    <t xml:space="preserve">m_personales</t>
  </si>
  <si>
    <t xml:space="preserve">bajas_renuncia</t>
  </si>
  <si>
    <t xml:space="preserve">bajas_abandono</t>
  </si>
  <si>
    <t xml:space="preserve">bajas_faltas</t>
  </si>
  <si>
    <t xml:space="preserve">bajas_rescision</t>
  </si>
  <si>
    <t xml:space="preserve">bajas_0_1m</t>
  </si>
  <si>
    <t xml:space="preserve">bajas_1_3m</t>
  </si>
  <si>
    <t xml:space="preserve">bajas_menos3m</t>
  </si>
  <si>
    <t xml:space="preserve">bajas_3_12m</t>
  </si>
  <si>
    <t xml:space="preserve">bajas_1_3a</t>
  </si>
  <si>
    <t xml:space="preserve">bajas_mas3a</t>
  </si>
  <si>
    <t xml:space="preserve">COMPAÑIA 1</t>
  </si>
  <si>
    <t xml:space="preserve">JUL-AGO_2024</t>
  </si>
  <si>
    <t xml:space="preserve">Mixto</t>
  </si>
  <si>
    <t xml:space="preserve">Sí</t>
  </si>
  <si>
    <t xml:space="preserve">COMPAÑIA 2</t>
  </si>
  <si>
    <t xml:space="preserve">Sin Tier</t>
  </si>
  <si>
    <t xml:space="preserve">No</t>
  </si>
  <si>
    <t xml:space="preserve">COMPAÑIA 3</t>
  </si>
  <si>
    <t xml:space="preserve">COMPAÑIA 4</t>
  </si>
  <si>
    <t xml:space="preserve">COMPAÑIA 5</t>
  </si>
  <si>
    <t xml:space="preserve">Solo Tier 2</t>
  </si>
  <si>
    <t xml:space="preserve">COMPAÑIA 6</t>
  </si>
  <si>
    <t xml:space="preserve">COMPAÑIA 7</t>
  </si>
  <si>
    <t xml:space="preserve">COMPAÑIA 8</t>
  </si>
  <si>
    <t xml:space="preserve">COMPAÑIA 9</t>
  </si>
  <si>
    <t xml:space="preserve">COMPAÑIA 10</t>
  </si>
  <si>
    <t xml:space="preserve">COMPAÑIA 11</t>
  </si>
  <si>
    <t xml:space="preserve">COMPAÑIA 12</t>
  </si>
  <si>
    <t xml:space="preserve">COMPAÑIA 13</t>
  </si>
  <si>
    <t xml:space="preserve">COMPAÑIA 14</t>
  </si>
  <si>
    <t xml:space="preserve">COMPAÑIA 15</t>
  </si>
  <si>
    <t xml:space="preserve">Solo Tier 1</t>
  </si>
  <si>
    <t xml:space="preserve">COMPAÑIA 16</t>
  </si>
  <si>
    <t xml:space="preserve">Solo Tier 3</t>
  </si>
  <si>
    <t xml:space="preserve">COMPAÑIA 17</t>
  </si>
  <si>
    <t xml:space="preserve">COMPAÑIA 18</t>
  </si>
  <si>
    <t xml:space="preserve">COMPAÑIA 19</t>
  </si>
  <si>
    <t xml:space="preserve">COMPAÑIA 20</t>
  </si>
  <si>
    <t xml:space="preserve">COMPAÑIA 21</t>
  </si>
  <si>
    <t xml:space="preserve">COMPAÑIA 22</t>
  </si>
  <si>
    <t xml:space="preserve">COMPAÑIA 23</t>
  </si>
  <si>
    <t xml:space="preserve">COMPAÑIA 24</t>
  </si>
  <si>
    <t xml:space="preserve">COMPAÑIA 25</t>
  </si>
  <si>
    <t xml:space="preserve">COMPAÑIA 26</t>
  </si>
  <si>
    <t xml:space="preserve">COMPAÑIA 27</t>
  </si>
  <si>
    <t xml:space="preserve">COMPAÑIA 28</t>
  </si>
  <si>
    <t xml:space="preserve">COMPAÑIA 29</t>
  </si>
  <si>
    <t xml:space="preserve">COMPAÑIA 30</t>
  </si>
  <si>
    <t xml:space="preserve">COMPAÑIA 31</t>
  </si>
  <si>
    <t xml:space="preserve">COMPAÑIA 32</t>
  </si>
  <si>
    <t xml:space="preserve">COMPAÑIA 33</t>
  </si>
  <si>
    <t xml:space="preserve">COMPAÑIA 34</t>
  </si>
  <si>
    <t xml:space="preserve">COMPAÑIA 35</t>
  </si>
  <si>
    <t xml:space="preserve">COMPAÑIA 36</t>
  </si>
  <si>
    <t xml:space="preserve">COMPAÑIA 37</t>
  </si>
  <si>
    <t xml:space="preserve">COMPAÑIA 38</t>
  </si>
  <si>
    <t xml:space="preserve">COMPAÑIA 39</t>
  </si>
  <si>
    <t xml:space="preserve">COMPAÑIA 40</t>
  </si>
  <si>
    <t xml:space="preserve">SEP-OCT_2024</t>
  </si>
  <si>
    <t xml:space="preserve">NOV-DIC_2024</t>
  </si>
  <si>
    <t xml:space="preserve">ENE-FEB_2025</t>
  </si>
  <si>
    <t xml:space="preserve">MAR-ABR_2025</t>
  </si>
  <si>
    <t xml:space="preserve">MAY-JUN_2025</t>
  </si>
  <si>
    <t xml:space="preserve">JUL-AGO_2025</t>
  </si>
  <si>
    <t xml:space="preserve">Columna</t>
  </si>
  <si>
    <t xml:space="preserve">Bloque</t>
  </si>
  <si>
    <t xml:space="preserve">Origen</t>
  </si>
  <si>
    <t xml:space="preserve">Regla aplicada</t>
  </si>
  <si>
    <t xml:space="preserve">Versión</t>
  </si>
  <si>
    <t xml:space="preserve">Cobertura (filas / empresas)</t>
  </si>
  <si>
    <t xml:space="preserve">Identificación</t>
  </si>
  <si>
    <t xml:space="preserve">Compañía</t>
  </si>
  <si>
    <t xml:space="preserve">"COMPAÑIA 1" a "COMPAÑIA 40"</t>
  </si>
  <si>
    <t xml:space="preserve">Original</t>
  </si>
  <si>
    <t xml:space="preserve">280 / empresa    40
empresa    40
dtype: int64</t>
  </si>
  <si>
    <t xml:space="preserve">Nombre de la hoja</t>
  </si>
  <si>
    <t xml:space="preserve">Ej. "JUL-AGO_2024"</t>
  </si>
  <si>
    <t xml:space="preserve">280 / 40</t>
  </si>
  <si>
    <t xml:space="preserve">Derivada</t>
  </si>
  <si>
    <t xml:space="preserve">1 a 7, para el deslizador de tiempo</t>
  </si>
  <si>
    <t xml:space="preserve">Perfil</t>
  </si>
  <si>
    <t xml:space="preserve">Número de empleados actual, personal operativo</t>
  </si>
  <si>
    <t xml:space="preserve">Entero. Si es 0, rutas_x100 queda vacío</t>
  </si>
  <si>
    <t xml:space="preserve">Número de empleados, personal administrativo</t>
  </si>
  <si>
    <t xml:space="preserve">Entero</t>
  </si>
  <si>
    <t xml:space="preserve">Casillas de Nivel de Proveeduría (Tier 1, 2, 3)</t>
  </si>
  <si>
    <t xml:space="preserve">Solo Tier 1 · Solo Tier 2 · Solo Tier 3 · Mixto · Sin Tier (ver Notas)</t>
  </si>
  <si>
    <t xml:space="preserve">¿Su compañía cuenta con alguna Confederación Sindical (Sindicato)?</t>
  </si>
  <si>
    <t xml:space="preserve">Sí / No</t>
  </si>
  <si>
    <t xml:space="preserve">Nueva (v2)</t>
  </si>
  <si>
    <t xml:space="preserve">% del personal operativo que se traslada desde otros estados o municipios</t>
  </si>
  <si>
    <t xml:space="preserve">Proporción. "Desconocido" → vacío. Casi no cambia entre bimestres</t>
  </si>
  <si>
    <t xml:space="preserve">230 / 33</t>
  </si>
  <si>
    <t xml:space="preserve">Salidas</t>
  </si>
  <si>
    <t xml:space="preserve">Promedio de rotación MENSUAL de los últimos seis meses, personal operativo, rotación voluntaria</t>
  </si>
  <si>
    <t xml:space="preserve">Proporción mensual (anualizar × 12). "Desconocido" → vacío. Es pregunta de la sección semestral: el valor se repite en bimestres consecutivos</t>
  </si>
  <si>
    <t xml:space="preserve">Original (regla actualizada en v2)</t>
  </si>
  <si>
    <t xml:space="preserve">274 / 40</t>
  </si>
  <si>
    <t xml:space="preserve">Promedio MENSUAL de ausentismo injustificado de los últimos seis meses, operativos</t>
  </si>
  <si>
    <t xml:space="preserve">Proporción mensual. "Desconocido" → vacío. "Más del 15%" → 0.15 con aus_inj_cens = 1. Sección semestral</t>
  </si>
  <si>
    <t xml:space="preserve">257 / 37</t>
  </si>
  <si>
    <t xml:space="preserve">1 si el dato era "más del 15%" (censurado)</t>
  </si>
  <si>
    <t xml:space="preserve">Operativos (grupo de 30 candidatos), días en promedio</t>
  </si>
  <si>
    <t xml:space="preserve">0 → vacío (el cuestionario pide 0 si no cuentan con la posición)</t>
  </si>
  <si>
    <t xml:space="preserve">240 / 39</t>
  </si>
  <si>
    <t xml:space="preserve">Promedio de rotación mensual de los últimos seis meses, personal operativo, rotación involuntaria</t>
  </si>
  <si>
    <t xml:space="preserve">Proporción mensual. "Desconocido" → vacío. "Más del 15%" → 0.15 con rot_inv_cens = 1</t>
  </si>
  <si>
    <t xml:space="preserve">254 / 38</t>
  </si>
  <si>
    <t xml:space="preserve">Flujo bimestral</t>
  </si>
  <si>
    <t xml:space="preserve">Del total de bajas del bimestre: bajas de personal operativo</t>
  </si>
  <si>
    <t xml:space="preserve">Conteo del bimestre (voluntarias e involuntarias). A diferencia de rot_vol_op, sí cambia cada bimestre</t>
  </si>
  <si>
    <t xml:space="preserve">279 / 40</t>
  </si>
  <si>
    <t xml:space="preserve">Derivada (fórmula)</t>
  </si>
  <si>
    <t xml:space="preserve">bajas_op ÷ plantilla_op. Proporción de la plantilla operativa que salió en el bimestre. Vacío si plantilla_op es 0</t>
  </si>
  <si>
    <t xml:space="preserve">Fórmula</t>
  </si>
  <si>
    <t xml:space="preserve">TOTAL DE CONTRATACIONES del último bimestre</t>
  </si>
  <si>
    <t xml:space="preserve">Conteo del bimestre, todas las áreas</t>
  </si>
  <si>
    <t xml:space="preserve">234 / 40</t>
  </si>
  <si>
    <t xml:space="preserve">Contrataciones realizadas para cubrir alguna baja / reemplazo</t>
  </si>
  <si>
    <t xml:space="preserve">275 / 40</t>
  </si>
  <si>
    <t xml:space="preserve">Faltas de personal operativo, injustificadas, en el bimestre</t>
  </si>
  <si>
    <t xml:space="preserve">Conteo de faltas del bimestre</t>
  </si>
  <si>
    <t xml:space="preserve">faltas_inj_op ÷ plantilla_op = faltas injustificadas por operativo en el bimestre. No es porcentaje. Vacío si plantilla_op es 0</t>
  </si>
  <si>
    <t xml:space="preserve">Políticas</t>
  </si>
  <si>
    <t xml:space="preserve">% de incremento otorgado en SALARIO, personal operativo</t>
  </si>
  <si>
    <t xml:space="preserve">Proporción. Confirmar con la empresa a qué año corresponde (el encabezado dice 2023 en la hoja JUL-AGO_2024 y cambia por hoja)</t>
  </si>
  <si>
    <t xml:space="preserve">265 / 39</t>
  </si>
  <si>
    <t xml:space="preserve">Vales de Despensa, operativo, % ofertado</t>
  </si>
  <si>
    <t xml:space="preserve">Proporción. Vacío se queda vacío</t>
  </si>
  <si>
    <t xml:space="preserve">252 / 36</t>
  </si>
  <si>
    <t xml:space="preserve">Fondo de Ahorro, operativo, % ofertado</t>
  </si>
  <si>
    <t xml:space="preserve">238 / 34</t>
  </si>
  <si>
    <t xml:space="preserve">Bono de Asistencia, % de bonos</t>
  </si>
  <si>
    <t xml:space="preserve">Proporción. Vacío NO se rellena con 0. "Menos del 0.50%" → 0.005, "más del 20%" → 0.20, con bono_asist_cens = 1</t>
  </si>
  <si>
    <t xml:space="preserve">209 / 31</t>
  </si>
  <si>
    <t xml:space="preserve">1 si el dato era "menos del…" o "más del…"</t>
  </si>
  <si>
    <t xml:space="preserve">¿Otorga servicio de transporte de personal?</t>
  </si>
  <si>
    <t xml:space="preserve">Cuántas rutas de transporte tiene asignadas (suma de rutas de todos los turnos)</t>
  </si>
  <si>
    <t xml:space="preserve">Si transporte = No, vale 0. "Más de 40 rutas" → 41 con rutas_cens = 1</t>
  </si>
  <si>
    <t xml:space="preserve">278 / 40</t>
  </si>
  <si>
    <t xml:space="preserve">1 si era "más de 40 rutas"</t>
  </si>
  <si>
    <t xml:space="preserve">rutas ÷ plantilla_op × 100. Vacío si plantilla_op es 0 o rutas está vacío. Es la medida comparable entre empresas</t>
  </si>
  <si>
    <t xml:space="preserve">Costo promedio mensual por persona del transporte (factura mensual ÷ headcount total)</t>
  </si>
  <si>
    <t xml:space="preserve">Pesos MXN. Vacío si no hay dato. Incluye un valor atípico de 1,000,000 (ver Notas)</t>
  </si>
  <si>
    <t xml:space="preserve">222 / 32</t>
  </si>
  <si>
    <t xml:space="preserve">Permisos para eventos escolares, personal operativo</t>
  </si>
  <si>
    <t xml:space="preserve">Sí / No ("No aplica" → vacío)</t>
  </si>
  <si>
    <t xml:space="preserve">¿Otorga bono de permanencia?</t>
  </si>
  <si>
    <t xml:space="preserve">Salario Diario Inicial ofrecido a personal operativo (periodo de entrenamiento)</t>
  </si>
  <si>
    <t xml:space="preserve">Pesos MXN por día, tal como se reportó (ver Notas)</t>
  </si>
  <si>
    <t xml:space="preserve">Salario Diario Intermedio - Bajo, personal operativo</t>
  </si>
  <si>
    <t xml:space="preserve">Pesos MXN por día</t>
  </si>
  <si>
    <t xml:space="preserve">Salario Diario Intermedio - Alto, personal operativo</t>
  </si>
  <si>
    <t xml:space="preserve">Salario Diario Máximo, personal operativo</t>
  </si>
  <si>
    <t xml:space="preserve">Días de AGUINALDO, personal operativo, primer año</t>
  </si>
  <si>
    <t xml:space="preserve">Días por año (mínimo de ley: 15)</t>
  </si>
  <si>
    <t xml:space="preserve">273 / 39</t>
  </si>
  <si>
    <t xml:space="preserve">% de PRIMA VACACIONAL, personal operativo</t>
  </si>
  <si>
    <t xml:space="preserve">Proporción (0.25 = 25%, mínimo de ley)</t>
  </si>
  <si>
    <t xml:space="preserve">¿Otorga el servicio de comedor como prestación?</t>
  </si>
  <si>
    <t xml:space="preserve">Comedor: importe que PAGA LA EMPRESA por platillo</t>
  </si>
  <si>
    <t xml:space="preserve">Pesos MXN por platillo. Vacío si comedor ≠ Sí</t>
  </si>
  <si>
    <t xml:space="preserve">173 / 25</t>
  </si>
  <si>
    <t xml:space="preserve">¿Maneja jornadas de 12 horas en niveles operativos?</t>
  </si>
  <si>
    <t xml:space="preserve">¿El personal operativo rota o rola turnos?</t>
  </si>
  <si>
    <t xml:space="preserve">Sí (cada semana, catorcena o mes) / No (un solo turno). "No aplica" y "Otro" → vacío</t>
  </si>
  <si>
    <t xml:space="preserve">248 / 36</t>
  </si>
  <si>
    <t xml:space="preserve">% de colaboradores con transporte que hacen uso efectivo de él</t>
  </si>
  <si>
    <t xml:space="preserve">Proporción (el cuestionario lo pide de 0 a 100; se dividió entre 100). Vacío si transporte ≠ Sí</t>
  </si>
  <si>
    <t xml:space="preserve">Motivos de baja</t>
  </si>
  <si>
    <t xml:space="preserve">Otro empleo, mejor sueldo</t>
  </si>
  <si>
    <t xml:space="preserve">Escala 0-5 (ver Escala_motivos); contexto de inc_sal_op y sal_dia_*</t>
  </si>
  <si>
    <t xml:space="preserve">261 / 39</t>
  </si>
  <si>
    <t xml:space="preserve">Otro empleo, mejores prestaciones</t>
  </si>
  <si>
    <t xml:space="preserve">Escala 0-5 (ver Escala_motivos); contexto de vales_op, fondo_op, bono_perm, aguinaldo_op, prima_vac_op, comedor</t>
  </si>
  <si>
    <t xml:space="preserve">250 / 38</t>
  </si>
  <si>
    <t xml:space="preserve">Otro empleo, mejor ruta de transporte</t>
  </si>
  <si>
    <t xml:space="preserve">Escala 0-5 (ver Escala_motivos); contexto de rutas, rutas_x100, transp_uso</t>
  </si>
  <si>
    <t xml:space="preserve">240 / 37</t>
  </si>
  <si>
    <t xml:space="preserve">Otro empleo, más cerca de su casa</t>
  </si>
  <si>
    <t xml:space="preserve">Escala 0-5 (ver Escala_motivos); contexto de rutas, traslado_op</t>
  </si>
  <si>
    <t xml:space="preserve">236 / 36</t>
  </si>
  <si>
    <t xml:space="preserve">Otro empleo, mejor horario</t>
  </si>
  <si>
    <t xml:space="preserve">Escala 0-5 (ver Escala_motivos); contexto de escolar_op, jornada_12h, rota_turno</t>
  </si>
  <si>
    <t xml:space="preserve">240 / 36</t>
  </si>
  <si>
    <t xml:space="preserve">Horario complicado</t>
  </si>
  <si>
    <t xml:space="preserve">Problemas con compañeros</t>
  </si>
  <si>
    <t xml:space="preserve">Escala 0-5 (ver hoja Escala_motivos). "No aplica" → vacío</t>
  </si>
  <si>
    <t xml:space="preserve">247 / 37</t>
  </si>
  <si>
    <t xml:space="preserve">Problemas con jefe / supervisor</t>
  </si>
  <si>
    <t xml:space="preserve">Bajo rendimiento</t>
  </si>
  <si>
    <t xml:space="preserve">Fin de contrato</t>
  </si>
  <si>
    <t xml:space="preserve">Cambio de residencia</t>
  </si>
  <si>
    <t xml:space="preserve">Conflictos con pareja / familia</t>
  </si>
  <si>
    <t xml:space="preserve">Enfermedad general</t>
  </si>
  <si>
    <t xml:space="preserve">Estudios / impedimento para seguir estudiando</t>
  </si>
  <si>
    <t xml:space="preserve">Independizarse / poner un negocio propio</t>
  </si>
  <si>
    <t xml:space="preserve">Inseguridad en la zona</t>
  </si>
  <si>
    <t xml:space="preserve">No tenía quien cuidara hijos / familiares</t>
  </si>
  <si>
    <t xml:space="preserve">Motivos personales sin especificar</t>
  </si>
  <si>
    <t xml:space="preserve">Perfil de bajas</t>
  </si>
  <si>
    <t xml:space="preserve">Del total de bajas del bimestre: Renuncia Voluntaria</t>
  </si>
  <si>
    <t xml:space="preserve">Conteo. Incluye operativos y administrativos</t>
  </si>
  <si>
    <t xml:space="preserve">Del total de bajas del bimestre: Abandono de Trabajo</t>
  </si>
  <si>
    <t xml:space="preserve">254 / 39</t>
  </si>
  <si>
    <t xml:space="preserve">Del total de bajas del bimestre: Acumulación de Faltas</t>
  </si>
  <si>
    <t xml:space="preserve">235 / 37</t>
  </si>
  <si>
    <t xml:space="preserve">Del total de bajas del bimestre: Rescisión de Contrato</t>
  </si>
  <si>
    <t xml:space="preserve">262 / 39</t>
  </si>
  <si>
    <t xml:space="preserve">Antigüedad de las bajas del bimestre: 0 a 1 mes</t>
  </si>
  <si>
    <t xml:space="preserve">Proporción del total de bajas. "NO APLICA" → 0 si la empresa respondió otra categoría; vacío si no respondió ninguna</t>
  </si>
  <si>
    <t xml:space="preserve">260 / 38</t>
  </si>
  <si>
    <t xml:space="preserve">Antigüedad de las bajas del bimestre: 1 a 3 meses</t>
  </si>
  <si>
    <t xml:space="preserve">Igual que bajas_0_1m</t>
  </si>
  <si>
    <t xml:space="preserve">bajas_0_1m + bajas_1_3m: proporción de bajas con menos de 3 meses (rotación temprana)</t>
  </si>
  <si>
    <t xml:space="preserve">Antigüedad de las bajas del bimestre: 3 a 12 meses</t>
  </si>
  <si>
    <t xml:space="preserve">Antigüedad de las bajas del bimestre: 1 a 3 años</t>
  </si>
  <si>
    <t xml:space="preserve">Antigüedad de las bajas del bimestre: más de 3 años</t>
  </si>
  <si>
    <t xml:space="preserve">Valor</t>
  </si>
  <si>
    <t xml:space="preserve">Etiqueta en el cuestionario</t>
  </si>
  <si>
    <t xml:space="preserve">Definición del cuestionario</t>
  </si>
  <si>
    <t xml:space="preserve">Proporción de bajas (aprox.)</t>
  </si>
  <si>
    <t xml:space="preserve">Nunca</t>
  </si>
  <si>
    <t xml:space="preserve">Muy poco común</t>
  </si>
  <si>
    <t xml:space="preserve">1 de cada 10 bajas son por esta razón</t>
  </si>
  <si>
    <t xml:space="preserve">Poco común</t>
  </si>
  <si>
    <t xml:space="preserve">3 de cada 10 bajas son por esta razón</t>
  </si>
  <si>
    <t xml:space="preserve">Común</t>
  </si>
  <si>
    <t xml:space="preserve">5 de cada 10 bajas son por esta razón</t>
  </si>
  <si>
    <t xml:space="preserve">Casi siempre</t>
  </si>
  <si>
    <t xml:space="preserve">7 de cada 10 bajas son por esta razón</t>
  </si>
  <si>
    <t xml:space="preserve">Siempre</t>
  </si>
  <si>
    <t xml:space="preserve">Todas las bajas son por esta razón</t>
  </si>
  <si>
    <t xml:space="preserve">Fuente: texto de la pregunta "Por favor, clasifique los siguientes motivos de baja…" del cuestionario (BASE_HISTORICA, todas las hojas).</t>
  </si>
  <si>
    <t xml:space="preserve">Cada motivo se califica por separado, así que las proporciones de los 18 motivos de una empresa pueden sumar más de 100%. Para usarlas como peso de cada causa conviene normalizarlas (dividir entre la suma).</t>
  </si>
  <si>
    <t xml:space="preserve">"No aplica" → vacío.</t>
  </si>
  <si>
    <t xml:space="preserve">Decisiones que no estaban en la estructura y conviene revisar</t>
  </si>
  <si>
    <t xml:space="preserve">Hay 9 filas con únicamente la casilla Tier 3. La estructura solo define 4 categorías, así que las dejé como "Solo Tier 3". Si prefieres, se pueden recodificar a Mixto. Distribución: Sin Tier: 79, Solo Tier 2: 66, Solo Tier 1: 64, Mixto: 62, Solo Tier 3: 9</t>
  </si>
  <si>
    <t xml:space="preserve">8 filas decían "Más de 20%". No hay columna bandera para este campo, así que quedaron vacías en lugar de inventar un valor.</t>
  </si>
  <si>
    <t xml:space="preserve">2 filas decían "más del 15.00%" (además de los "Desconocido"). Sin bandera, quedaron vacías.</t>
  </si>
  <si>
    <t xml:space="preserve">2 filas decían "Menos del 0.50%". Sin bandera, quedaron vacías.</t>
  </si>
  <si>
    <t xml:space="preserve">Con transporte = No, rutas = 0 (en la fuente venía vacío). Una fila con transporte = Sí y rutas vacío (COMPAÑIA 37, JUL-AGO_2024) se dejó vacía.</t>
  </si>
  <si>
    <t xml:space="preserve">Una fila sin respuesta (COMPAÑIA 23, JUL-AGO_2024) quedó vacía.</t>
  </si>
  <si>
    <t xml:space="preserve">Sin regla en la estructura: se conserva el valor reportado (incluye 14 ceros) y queda vacío donde no hubo dato.</t>
  </si>
  <si>
    <t xml:space="preserve">plantilla_op = 0 en los 7 bimestres, por lo que rutas_x100 queda vacío.</t>
  </si>
  <si>
    <t xml:space="preserve">Banderas _cens</t>
  </si>
  <si>
    <t xml:space="preserve">Valen 0 cuando el dato es numérico o está vacío; 1 solo cuando el texto original era censurado.</t>
  </si>
  <si>
    <t xml:space="preserve">Cómo se construyó</t>
  </si>
  <si>
    <t xml:space="preserve">Columnas</t>
  </si>
  <si>
    <t xml:space="preserve">Se localizaron por el texto del encabezado (pregunta + sub-etiqueta combinadas), no por posición, en las 7 hojas (1,142 / 1,158 / 1,169 columnas). Cada variable coincidió con exactamente una columna por hoja.</t>
  </si>
  <si>
    <t xml:space="preserve">Filas</t>
  </si>
  <si>
    <t xml:space="preserve">280 = 40 empresas × 7 bimestres. Se excluyeron las filas finales sin nombre de empresa que traen algunas hojas.</t>
  </si>
  <si>
    <t xml:space="preserve">Eliminado</t>
  </si>
  <si>
    <t xml:space="preserve">PII, columnas vacías, personal administrativo (salvo plantilla_adm), ausentismo justificado e incapacidad, bonos de puntualidad y productividad, flexibilidad y el resto de columnas. En la v2 se recuperaron la rotación involuntaria, los demás motivos de baja y otras columnas (ver abajo).</t>
  </si>
  <si>
    <t xml:space="preserve">Es fórmula de Excel: =rutas/plantilla_op*100, con guarda para plantilla_op = 0 o rutas vacío.</t>
  </si>
  <si>
    <t xml:space="preserve">Cambios v2 (5 de octubre de 2026), a partir de BASE_HISTORICA</t>
  </si>
  <si>
    <t xml:space="preserve">Qué se agregó</t>
  </si>
  <si>
    <t xml:space="preserve">43 columnas: 40 tomadas de la base histórica y 3 fórmulas (tasa_bajas_op_bim, tasa_faltas_inj_op_bim, bajas_menos3m). Las 28 columnas originales conservan sus valores; solo se actualizaron sus reglas en el Diccionario. Bloques nuevos: "Flujo bimestral" (azul) y "Perfil de bajas" (morado).</t>
  </si>
  <si>
    <t xml:space="preserve">Por qué</t>
  </si>
  <si>
    <t xml:space="preserve">El proyecto se reformuló como diagnóstico por causas (Radar de Retención). Lo agregado responde a pendientes de ese documento: el nivel salarial (antes no había), los demás motivos de baja, bajas reales por bimestre, rotación temprana y más palancas de prestaciones y horario.</t>
  </si>
  <si>
    <t xml:space="preserve">Definición de rot_vol_op y aus_inj_op</t>
  </si>
  <si>
    <t xml:space="preserve">El cuestionario pide el "promedio mensual de los últimos seis meses". Son tasas mensuales (anualizar × 12, no × 6). Están en la sección semestral, por eso se repiten en bimestres consecutivos. Para series que sí cambian cada bimestre, usar bajas_op, tasa_bajas_op_bim y faltas_inj_op.</t>
  </si>
  <si>
    <t xml:space="preserve">Escala de motivos</t>
  </si>
  <si>
    <t xml:space="preserve">El cuestionario define cada valor como proporción de bajas (1 = 1 de cada 10, 3 = 5 de cada 10, 5 = todas). Ver hoja Escala_motivos. Esto permite calcular el "techo de relevancia" que antes se había descartado.</t>
  </si>
  <si>
    <t xml:space="preserve">Salario diario</t>
  </si>
  <si>
    <t xml:space="preserve">Cubre las 40 empresas. Se dejaron los valores reportados. Algunas filas están por debajo del salario mínimo general vigente (248.93 MXN en 2024 y 278.80 MXN en 2025): COMPAÑIA 7 y 9 (2 filas cada una en 2024), COMPAÑIA 26 (7 filas, 226 MXN), COMPAÑIA 35 (4 filas en 2025), COMPAÑIA 4 y 20 (2 filas cada una en 2025). Puede tratarse de salario de entrenamiento o de un error de captura; confirmar.</t>
  </si>
  <si>
    <t xml:space="preserve">7 filas traían costo de platillo con comedor = No; se dejaron vacías.</t>
  </si>
  <si>
    <t xml:space="preserve">Antigüedad de las bajas</t>
  </si>
  <si>
    <t xml:space="preserve">Se pide como % que suma 100. 17 filas no suman entre 95% y 105% (van de 80% a 130%); se conservan como se reportaron.</t>
  </si>
  <si>
    <t xml:space="preserve">Desglose de bajas</t>
  </si>
  <si>
    <t xml:space="preserve">bajas_renuncia, bajas_abandono, bajas_faltas y bajas_rescision desglosan el total de bajas (operativo + administrativo). bajas_op sí es solo operativo. Por eso en 28 filas bajas_renuncia es mayor que bajas_op.</t>
  </si>
  <si>
    <t xml:space="preserve">El cuestionario pide el % de 0 a 100; se dividió entre 100 para que sea proporción como las demás columnas.</t>
  </si>
  <si>
    <t xml:space="preserve">Confirmado vacío</t>
  </si>
  <si>
    <t xml:space="preserve">Industria, municipio y parque industrial están vacíos en las 7 hojas de la base histórica. Los comparables siguen sin poder filtrarse por industria o zona.</t>
  </si>
  <si>
    <t xml:space="preserve">Revisado y no agregado</t>
  </si>
  <si>
    <t xml:space="preserve">Vacaciones (días)</t>
  </si>
  <si>
    <t xml:space="preserve">Casi todas las empresas dan los 12 días de ley; no distingue.</t>
  </si>
  <si>
    <t xml:space="preserve">Bonos de puntualidad y productividad</t>
  </si>
  <si>
    <t xml:space="preserve">23 y 26 empresas con dato, sin cambios en el tiempo y sin relación con la rotación.</t>
  </si>
  <si>
    <t xml:space="preserve">Utilidades (monto)</t>
  </si>
  <si>
    <t xml:space="preserve">Sin relación con la rotación ni con el motivo de prestaciones, y el año de referencia cambia por hoja.</t>
  </si>
  <si>
    <t xml:space="preserve">Seguros (vida, gastos médicos)</t>
  </si>
  <si>
    <t xml:space="preserve">Seguro de vida casi universal; la pregunta de gastos médicos tiene muy baja cobertura.</t>
  </si>
  <si>
    <t xml:space="preserve">Distancia máxima de transporte</t>
  </si>
  <si>
    <t xml:space="preserve">Sin relación con los motivos de ruta o cercanía.</t>
  </si>
  <si>
    <t xml:space="preserve">Capacitación, plazas próximas, candidatos aceptados</t>
  </si>
  <si>
    <t xml:space="preserve">Sin relación con la rotación.</t>
  </si>
  <si>
    <t xml:space="preserve">Tiempo entre ascensos</t>
  </si>
  <si>
    <t xml:space="preserve">Relación débil con la rotación; se puede recuperar si el equipo quiere explorar carrera interna.</t>
  </si>
  <si>
    <t xml:space="preserve">Demografía (% mujeres, % Gen Z) y bajas por edad</t>
  </si>
  <si>
    <t xml:space="preserve">Son perfil, no palancas ni salidas; se pueden recuperar como variables de control.</t>
  </si>
  <si>
    <t xml:space="preserve">Plantilla de hace un año</t>
  </si>
  <si>
    <t xml:space="preserve">El año de referencia cambia por hoja (Enero 2023, Enero 2024), así que el crecimiento no es comparable entre bimestres.</t>
  </si>
  <si>
    <t xml:space="preserve">Elegir turno, home office</t>
  </si>
  <si>
    <t xml:space="preserve">Casi no varían en personal operativo.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</si>
</sst>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##%"/>
    <numFmt numFmtId="167" formatCode="0.00"/>
    <numFmt numFmtId="168" formatCode="#,##0.00"/>
    <numFmt numFmtId="169" formatCode="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9E1F2"/>
        <bgColor rgb="FFE4DFEC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EDEDED"/>
        <bgColor rgb="FFE2EFDA"/>
      </patternFill>
    </fill>
    <fill>
      <patternFill patternType="solid">
        <fgColor rgb="FFE4DFEC"/>
        <bgColor rgb="FFD9E1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E4DFEC"/>
          <bgColor rgb="FF000000"/>
        </patternFill>
      </fill>
    </dxf>
  </dxf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FEC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S2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10" min="9" style="0" width="13"/>
    <col collapsed="false" customWidth="true" hidden="false" outlineLevel="0" max="11" min="11" style="0" width="15"/>
    <col collapsed="false" customWidth="true" hidden="false" outlineLevel="0" max="12" min="12" style="0" width="20"/>
    <col collapsed="false" customWidth="true" hidden="false" outlineLevel="0" max="13" min="13" style="0" width="13"/>
    <col collapsed="false" customWidth="true" hidden="false" outlineLevel="0" max="14" min="14" style="0" width="15"/>
    <col collapsed="false" customWidth="true" hidden="false" outlineLevel="0" max="15" min="15" style="0" width="11"/>
    <col collapsed="false" customWidth="true" hidden="false" outlineLevel="0" max="16" min="16" style="0" width="20"/>
    <col collapsed="false" customWidth="true" hidden="false" outlineLevel="0" max="17" min="17" style="0" width="16"/>
    <col collapsed="false" customWidth="true" hidden="false" outlineLevel="0" max="18" min="18" style="0" width="20"/>
    <col collapsed="false" customWidth="true" hidden="false" outlineLevel="0" max="19" min="19" style="0" width="16"/>
    <col collapsed="false" customWidth="true" hidden="false" outlineLevel="0" max="20" min="20" style="0" width="24"/>
    <col collapsed="false" customWidth="true" hidden="false" outlineLevel="0" max="21" min="21" style="0" width="13"/>
    <col collapsed="false" customWidth="true" hidden="false" outlineLevel="0" max="23" min="22" style="0" width="11"/>
    <col collapsed="false" customWidth="true" hidden="false" outlineLevel="0" max="24" min="24" style="0" width="13"/>
    <col collapsed="false" customWidth="true" hidden="false" outlineLevel="0" max="25" min="25" style="0" width="18"/>
    <col collapsed="false" customWidth="true" hidden="false" outlineLevel="0" max="26" min="26" style="0" width="13"/>
    <col collapsed="false" customWidth="true" hidden="false" outlineLevel="0" max="27" min="27" style="0" width="11"/>
    <col collapsed="false" customWidth="true" hidden="false" outlineLevel="0" max="29" min="28" style="0" width="13"/>
    <col collapsed="false" customWidth="true" hidden="false" outlineLevel="0" max="30" min="30" style="0" width="15"/>
    <col collapsed="false" customWidth="true" hidden="false" outlineLevel="0" max="31" min="31" style="0" width="13"/>
    <col collapsed="false" customWidth="true" hidden="false" outlineLevel="0" max="32" min="32" style="0" width="12"/>
    <col collapsed="false" customWidth="true" hidden="false" outlineLevel="0" max="33" min="33" style="0" width="14"/>
    <col collapsed="false" customWidth="true" hidden="false" outlineLevel="0" max="35" min="34" style="0" width="13"/>
    <col collapsed="false" customWidth="true" hidden="false" outlineLevel="0" max="36" min="36" style="0" width="14"/>
    <col collapsed="false" customWidth="true" hidden="false" outlineLevel="0" max="38" min="37" style="0" width="15"/>
    <col collapsed="false" customWidth="true" hidden="false" outlineLevel="0" max="39" min="39" style="0" width="11"/>
    <col collapsed="false" customWidth="true" hidden="false" outlineLevel="0" max="40" min="40" style="0" width="18"/>
    <col collapsed="false" customWidth="true" hidden="false" outlineLevel="0" max="41" min="41" style="0" width="14"/>
    <col collapsed="false" customWidth="true" hidden="false" outlineLevel="0" max="43" min="42" style="0" width="13"/>
    <col collapsed="false" customWidth="true" hidden="false" outlineLevel="0" max="47" min="44" style="0" width="11"/>
    <col collapsed="false" customWidth="true" hidden="false" outlineLevel="0" max="49" min="48" style="0" width="12"/>
    <col collapsed="false" customWidth="true" hidden="false" outlineLevel="0" max="50" min="50" style="0" width="15"/>
    <col collapsed="false" customWidth="true" hidden="false" outlineLevel="0" max="51" min="51" style="0" width="11"/>
    <col collapsed="false" customWidth="true" hidden="false" outlineLevel="0" max="52" min="52" style="0" width="16"/>
    <col collapsed="false" customWidth="true" hidden="false" outlineLevel="0" max="53" min="53" style="0" width="17"/>
    <col collapsed="false" customWidth="true" hidden="false" outlineLevel="0" max="54" min="54" style="0" width="15"/>
    <col collapsed="false" customWidth="true" hidden="false" outlineLevel="0" max="55" min="55" style="0" width="12"/>
    <col collapsed="false" customWidth="true" hidden="false" outlineLevel="0" max="56" min="56" style="0" width="15"/>
    <col collapsed="false" customWidth="true" hidden="false" outlineLevel="0" max="57" min="57" style="0" width="13"/>
    <col collapsed="false" customWidth="true" hidden="false" outlineLevel="0" max="58" min="58" style="0" width="12"/>
    <col collapsed="false" customWidth="true" hidden="false" outlineLevel="0" max="59" min="59" style="0" width="16"/>
    <col collapsed="false" customWidth="true" hidden="false" outlineLevel="0" max="60" min="60" style="0" width="13"/>
    <col collapsed="false" customWidth="true" hidden="false" outlineLevel="0" max="61" min="61" style="0" width="15"/>
    <col collapsed="false" customWidth="true" hidden="false" outlineLevel="0" max="63" min="62" style="0" width="17"/>
    <col collapsed="false" customWidth="true" hidden="false" outlineLevel="0" max="64" min="64" style="0" width="15"/>
    <col collapsed="false" customWidth="true" hidden="false" outlineLevel="0" max="65" min="65" style="0" width="18"/>
    <col collapsed="false" customWidth="true" hidden="false" outlineLevel="0" max="67" min="66" style="0" width="13"/>
    <col collapsed="false" customWidth="true" hidden="false" outlineLevel="0" max="68" min="68" style="0" width="16"/>
    <col collapsed="false" customWidth="true" hidden="false" outlineLevel="0" max="69" min="69" style="0" width="14"/>
    <col collapsed="false" customWidth="true" hidden="false" outlineLevel="0" max="70" min="70" style="0" width="13"/>
    <col collapsed="false" customWidth="true" hidden="false" outlineLevel="0" max="71" min="71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</row>
    <row r="2" customFormat="false" ht="15" hidden="false" customHeight="false" outlineLevel="0" collapsed="false">
      <c r="A2" s="8" t="s">
        <v>71</v>
      </c>
      <c r="B2" s="8" t="s">
        <v>72</v>
      </c>
      <c r="C2" s="8" t="n">
        <v>1</v>
      </c>
      <c r="D2" s="9" t="n">
        <v>134</v>
      </c>
      <c r="E2" s="9" t="n">
        <v>23</v>
      </c>
      <c r="F2" s="8" t="s">
        <v>73</v>
      </c>
      <c r="G2" s="8" t="s">
        <v>74</v>
      </c>
      <c r="H2" s="10" t="n">
        <v>0.7</v>
      </c>
      <c r="I2" s="10" t="n">
        <v>0.082</v>
      </c>
      <c r="J2" s="10" t="n">
        <v>0.009</v>
      </c>
      <c r="K2" s="8" t="n">
        <v>0</v>
      </c>
      <c r="L2" s="8" t="n">
        <v>15</v>
      </c>
      <c r="M2" s="10" t="n">
        <v>0.02</v>
      </c>
      <c r="N2" s="8" t="n">
        <v>0</v>
      </c>
      <c r="O2" s="9" t="n">
        <v>17</v>
      </c>
      <c r="P2" s="10" t="n">
        <f aca="false">IF(AND(ISNUMBER(O2),ISNUMBER(D2),D2&gt;0),O2/D2,"")</f>
        <v>0.126865671641791</v>
      </c>
      <c r="Q2" s="9" t="n">
        <v>31</v>
      </c>
      <c r="R2" s="9" t="n">
        <v>19</v>
      </c>
      <c r="S2" s="9" t="n">
        <v>67</v>
      </c>
      <c r="T2" s="11" t="n">
        <f aca="false">IF(AND(ISNUMBER(S2),ISNUMBER(D2),D2&gt;0),S2/D2,"")</f>
        <v>0.5</v>
      </c>
      <c r="U2" s="10" t="n">
        <v>0.05</v>
      </c>
      <c r="V2" s="10" t="n">
        <v>0.15</v>
      </c>
      <c r="W2" s="10" t="n">
        <v>0.08</v>
      </c>
      <c r="X2" s="10" t="n">
        <v>0.1</v>
      </c>
      <c r="Y2" s="8" t="n">
        <v>0</v>
      </c>
      <c r="Z2" s="8" t="s">
        <v>74</v>
      </c>
      <c r="AA2" s="8" t="n">
        <v>15</v>
      </c>
      <c r="AB2" s="8" t="n">
        <v>0</v>
      </c>
      <c r="AC2" s="11" t="n">
        <f aca="false">IF(AND(ISNUMBER(AA2),ISNUMBER(D2),D2&gt;0),AA2/D2*100,"")</f>
        <v>11.1940298507463</v>
      </c>
      <c r="AD2" s="12" t="n">
        <v>3600</v>
      </c>
      <c r="AE2" s="8" t="s">
        <v>74</v>
      </c>
      <c r="AF2" s="8" t="s">
        <v>74</v>
      </c>
      <c r="AG2" s="12" t="n">
        <v>248.93</v>
      </c>
      <c r="AH2" s="12" t="n">
        <v>274.23</v>
      </c>
      <c r="AI2" s="12" t="n">
        <v>305.31</v>
      </c>
      <c r="AJ2" s="12" t="n">
        <v>395.61</v>
      </c>
      <c r="AK2" s="8" t="n">
        <v>16</v>
      </c>
      <c r="AL2" s="10" t="n">
        <v>0.25</v>
      </c>
      <c r="AM2" s="8" t="s">
        <v>74</v>
      </c>
      <c r="AN2" s="12" t="n">
        <v>32</v>
      </c>
      <c r="AO2" s="8" t="s">
        <v>74</v>
      </c>
      <c r="AP2" s="8" t="s">
        <v>74</v>
      </c>
      <c r="AQ2" s="10" t="n">
        <v>0.9</v>
      </c>
      <c r="AR2" s="8" t="n">
        <v>5</v>
      </c>
      <c r="AS2" s="8" t="n">
        <v>3</v>
      </c>
      <c r="AT2" s="8" t="n">
        <v>0</v>
      </c>
      <c r="AU2" s="8" t="n">
        <v>0</v>
      </c>
      <c r="AV2" s="8" t="n">
        <v>0</v>
      </c>
      <c r="AW2" s="8" t="n">
        <v>3</v>
      </c>
      <c r="AX2" s="8" t="n">
        <v>2</v>
      </c>
      <c r="AY2" s="8" t="n">
        <v>2</v>
      </c>
      <c r="AZ2" s="8" t="n">
        <v>4</v>
      </c>
      <c r="BA2" s="8" t="n">
        <v>4</v>
      </c>
      <c r="BB2" s="8" t="n">
        <v>3</v>
      </c>
      <c r="BC2" s="8" t="n">
        <v>5</v>
      </c>
      <c r="BD2" s="8" t="n">
        <v>4</v>
      </c>
      <c r="BE2" s="8" t="n">
        <v>4</v>
      </c>
      <c r="BF2" s="8" t="n">
        <v>4</v>
      </c>
      <c r="BG2" s="8" t="n">
        <v>0</v>
      </c>
      <c r="BH2" s="8" t="n">
        <v>5</v>
      </c>
      <c r="BI2" s="8" t="n">
        <v>5</v>
      </c>
      <c r="BJ2" s="9" t="n">
        <v>3</v>
      </c>
      <c r="BK2" s="9" t="n">
        <v>2</v>
      </c>
      <c r="BL2" s="9" t="n">
        <v>5</v>
      </c>
      <c r="BM2" s="9" t="n">
        <v>1</v>
      </c>
      <c r="BN2" s="10" t="n">
        <v>0.2</v>
      </c>
      <c r="BO2" s="10" t="n">
        <v>0.3</v>
      </c>
      <c r="BP2" s="10" t="n">
        <f aca="false">IF(AND(ISNUMBER(BN2),ISNUMBER(BO2)),BN2+BO2,"")</f>
        <v>0.5</v>
      </c>
      <c r="BQ2" s="10" t="n">
        <v>0.3</v>
      </c>
      <c r="BR2" s="10" t="n">
        <v>0.2</v>
      </c>
      <c r="BS2" s="10" t="n">
        <v>0</v>
      </c>
    </row>
    <row r="3" customFormat="false" ht="15" hidden="false" customHeight="false" outlineLevel="0" collapsed="false">
      <c r="A3" s="8" t="s">
        <v>75</v>
      </c>
      <c r="B3" s="8" t="s">
        <v>72</v>
      </c>
      <c r="C3" s="8" t="n">
        <v>1</v>
      </c>
      <c r="D3" s="9" t="n">
        <v>235</v>
      </c>
      <c r="E3" s="9" t="n">
        <v>129</v>
      </c>
      <c r="F3" s="8" t="s">
        <v>76</v>
      </c>
      <c r="G3" s="8" t="s">
        <v>74</v>
      </c>
      <c r="H3" s="10" t="n">
        <v>0.8</v>
      </c>
      <c r="I3" s="10" t="n">
        <v>0.01</v>
      </c>
      <c r="J3" s="10" t="n">
        <v>0.01</v>
      </c>
      <c r="K3" s="8" t="n">
        <v>0</v>
      </c>
      <c r="L3" s="8"/>
      <c r="M3" s="10" t="n">
        <v>0.015</v>
      </c>
      <c r="N3" s="8" t="n">
        <v>0</v>
      </c>
      <c r="O3" s="9" t="n">
        <v>8</v>
      </c>
      <c r="P3" s="10" t="n">
        <f aca="false">IF(AND(ISNUMBER(O3),ISNUMBER(D3),D3&gt;0),O3/D3,"")</f>
        <v>0.0340425531914894</v>
      </c>
      <c r="Q3" s="9"/>
      <c r="R3" s="9" t="n">
        <v>1</v>
      </c>
      <c r="S3" s="9" t="n">
        <v>14</v>
      </c>
      <c r="T3" s="11" t="n">
        <f aca="false">IF(AND(ISNUMBER(S3),ISNUMBER(D3),D3&gt;0),S3/D3,"")</f>
        <v>0.0595744680851064</v>
      </c>
      <c r="U3" s="10" t="n">
        <v>0.08</v>
      </c>
      <c r="V3" s="10" t="n">
        <v>0.11</v>
      </c>
      <c r="W3" s="10" t="n">
        <v>0.085</v>
      </c>
      <c r="X3" s="10" t="n">
        <v>0.03</v>
      </c>
      <c r="Y3" s="8" t="n">
        <v>0</v>
      </c>
      <c r="Z3" s="8" t="s">
        <v>74</v>
      </c>
      <c r="AA3" s="8" t="n">
        <v>22</v>
      </c>
      <c r="AB3" s="8" t="n">
        <v>0</v>
      </c>
      <c r="AC3" s="11" t="n">
        <f aca="false">IF(AND(ISNUMBER(AA3),ISNUMBER(D3),D3&gt;0),AA3/D3*100,"")</f>
        <v>9.36170212765958</v>
      </c>
      <c r="AD3" s="12" t="n">
        <v>2800</v>
      </c>
      <c r="AE3" s="8" t="s">
        <v>74</v>
      </c>
      <c r="AF3" s="8" t="s">
        <v>77</v>
      </c>
      <c r="AG3" s="12" t="n">
        <v>375</v>
      </c>
      <c r="AH3" s="12" t="n">
        <v>432</v>
      </c>
      <c r="AI3" s="12" t="n">
        <v>491</v>
      </c>
      <c r="AJ3" s="12" t="n">
        <v>740</v>
      </c>
      <c r="AK3" s="8" t="n">
        <v>20</v>
      </c>
      <c r="AL3" s="10" t="n">
        <v>1.5</v>
      </c>
      <c r="AM3" s="8" t="s">
        <v>74</v>
      </c>
      <c r="AN3" s="12" t="n">
        <v>29</v>
      </c>
      <c r="AO3" s="8" t="s">
        <v>77</v>
      </c>
      <c r="AP3" s="8" t="s">
        <v>74</v>
      </c>
      <c r="AQ3" s="10" t="n">
        <v>0.8</v>
      </c>
      <c r="AR3" s="8" t="n">
        <v>2</v>
      </c>
      <c r="AS3" s="8" t="n">
        <v>1</v>
      </c>
      <c r="AT3" s="8" t="n">
        <v>1</v>
      </c>
      <c r="AU3" s="8" t="n">
        <v>1</v>
      </c>
      <c r="AV3" s="8" t="n">
        <v>0</v>
      </c>
      <c r="AW3" s="8" t="n">
        <v>0</v>
      </c>
      <c r="AX3" s="8" t="n">
        <v>1</v>
      </c>
      <c r="AY3" s="8" t="n">
        <v>2</v>
      </c>
      <c r="AZ3" s="8" t="n">
        <v>2</v>
      </c>
      <c r="BA3" s="8" t="n">
        <v>2</v>
      </c>
      <c r="BB3" s="8" t="n">
        <v>1</v>
      </c>
      <c r="BC3" s="8" t="n">
        <v>1</v>
      </c>
      <c r="BD3" s="8" t="n">
        <v>0</v>
      </c>
      <c r="BE3" s="8" t="n">
        <v>1</v>
      </c>
      <c r="BF3" s="8" t="n">
        <v>1</v>
      </c>
      <c r="BG3" s="8" t="n">
        <v>0</v>
      </c>
      <c r="BH3" s="8" t="n">
        <v>1</v>
      </c>
      <c r="BI3" s="8" t="n">
        <v>2</v>
      </c>
      <c r="BJ3" s="9" t="n">
        <v>4</v>
      </c>
      <c r="BK3" s="9" t="n">
        <v>0</v>
      </c>
      <c r="BL3" s="9" t="n">
        <v>0</v>
      </c>
      <c r="BM3" s="9" t="n">
        <v>6</v>
      </c>
      <c r="BN3" s="10" t="n">
        <v>0.1</v>
      </c>
      <c r="BO3" s="10" t="n">
        <v>0.1</v>
      </c>
      <c r="BP3" s="10" t="n">
        <f aca="false">IF(AND(ISNUMBER(BN3),ISNUMBER(BO3)),BN3+BO3,"")</f>
        <v>0.2</v>
      </c>
      <c r="BQ3" s="10" t="n">
        <v>0.3</v>
      </c>
      <c r="BR3" s="10" t="n">
        <v>0.3</v>
      </c>
      <c r="BS3" s="10" t="n">
        <v>0.2</v>
      </c>
    </row>
    <row r="4" customFormat="false" ht="15" hidden="false" customHeight="false" outlineLevel="0" collapsed="false">
      <c r="A4" s="8" t="s">
        <v>78</v>
      </c>
      <c r="B4" s="8" t="s">
        <v>72</v>
      </c>
      <c r="C4" s="8" t="n">
        <v>1</v>
      </c>
      <c r="D4" s="9" t="n">
        <v>93</v>
      </c>
      <c r="E4" s="9" t="n">
        <v>55</v>
      </c>
      <c r="F4" s="8" t="s">
        <v>73</v>
      </c>
      <c r="G4" s="8" t="s">
        <v>74</v>
      </c>
      <c r="H4" s="10" t="n">
        <v>0</v>
      </c>
      <c r="I4" s="10" t="n">
        <v>0.004</v>
      </c>
      <c r="J4" s="10" t="n">
        <v>0.001</v>
      </c>
      <c r="K4" s="8" t="n">
        <v>0</v>
      </c>
      <c r="L4" s="8"/>
      <c r="M4" s="10" t="n">
        <v>0.001</v>
      </c>
      <c r="N4" s="8" t="n">
        <v>0</v>
      </c>
      <c r="O4" s="9" t="n">
        <v>6</v>
      </c>
      <c r="P4" s="10" t="n">
        <f aca="false">IF(AND(ISNUMBER(O4),ISNUMBER(D4),D4&gt;0),O4/D4,"")</f>
        <v>0.0645161290322581</v>
      </c>
      <c r="Q4" s="9"/>
      <c r="R4" s="9"/>
      <c r="S4" s="9" t="n">
        <v>17</v>
      </c>
      <c r="T4" s="11" t="n">
        <f aca="false">IF(AND(ISNUMBER(S4),ISNUMBER(D4),D4&gt;0),S4/D4,"")</f>
        <v>0.182795698924731</v>
      </c>
      <c r="U4" s="10" t="n">
        <v>0.08</v>
      </c>
      <c r="V4" s="10" t="n">
        <v>0.105</v>
      </c>
      <c r="W4" s="10" t="n">
        <v>0.095</v>
      </c>
      <c r="X4" s="10" t="n">
        <v>0.175</v>
      </c>
      <c r="Y4" s="8" t="n">
        <v>0</v>
      </c>
      <c r="Z4" s="8" t="s">
        <v>74</v>
      </c>
      <c r="AA4" s="8" t="n">
        <v>5</v>
      </c>
      <c r="AB4" s="8" t="n">
        <v>0</v>
      </c>
      <c r="AC4" s="11" t="n">
        <f aca="false">IF(AND(ISNUMBER(AA4),ISNUMBER(D4),D4&gt;0),AA4/D4*100,"")</f>
        <v>5.37634408602151</v>
      </c>
      <c r="AD4" s="12" t="n">
        <v>1970</v>
      </c>
      <c r="AE4" s="8" t="s">
        <v>74</v>
      </c>
      <c r="AF4" s="8" t="s">
        <v>74</v>
      </c>
      <c r="AG4" s="12" t="n">
        <v>300</v>
      </c>
      <c r="AH4" s="12" t="n">
        <v>370</v>
      </c>
      <c r="AI4" s="12" t="n">
        <v>400</v>
      </c>
      <c r="AJ4" s="12" t="n">
        <v>600</v>
      </c>
      <c r="AK4" s="8" t="n">
        <v>24</v>
      </c>
      <c r="AL4" s="10" t="n">
        <v>0.45</v>
      </c>
      <c r="AM4" s="8" t="s">
        <v>74</v>
      </c>
      <c r="AN4" s="12" t="n">
        <v>42</v>
      </c>
      <c r="AO4" s="8" t="s">
        <v>77</v>
      </c>
      <c r="AP4" s="8" t="s">
        <v>74</v>
      </c>
      <c r="AQ4" s="10" t="n">
        <v>0.9</v>
      </c>
      <c r="AR4" s="8" t="n">
        <v>3</v>
      </c>
      <c r="AS4" s="8" t="n">
        <v>0</v>
      </c>
      <c r="AT4" s="8" t="n">
        <v>0</v>
      </c>
      <c r="AU4" s="8" t="n">
        <v>1</v>
      </c>
      <c r="AV4" s="8" t="n">
        <v>0</v>
      </c>
      <c r="AW4" s="8" t="n">
        <v>0</v>
      </c>
      <c r="AX4" s="8" t="n">
        <v>0</v>
      </c>
      <c r="AY4" s="8" t="n">
        <v>1</v>
      </c>
      <c r="AZ4" s="8" t="n">
        <v>1</v>
      </c>
      <c r="BA4" s="8" t="n">
        <v>1</v>
      </c>
      <c r="BB4" s="8" t="n">
        <v>3</v>
      </c>
      <c r="BC4" s="8" t="n">
        <v>1</v>
      </c>
      <c r="BD4" s="8" t="n">
        <v>1</v>
      </c>
      <c r="BE4" s="8" t="n">
        <v>0</v>
      </c>
      <c r="BF4" s="8" t="n">
        <v>1</v>
      </c>
      <c r="BG4" s="8" t="n">
        <v>0</v>
      </c>
      <c r="BH4" s="8" t="n">
        <v>1</v>
      </c>
      <c r="BI4" s="8" t="n">
        <v>3</v>
      </c>
      <c r="BJ4" s="9" t="n">
        <v>4</v>
      </c>
      <c r="BK4" s="9" t="n">
        <v>0</v>
      </c>
      <c r="BL4" s="9" t="n">
        <v>2</v>
      </c>
      <c r="BM4" s="9" t="n">
        <v>1</v>
      </c>
      <c r="BN4" s="10" t="n">
        <v>0</v>
      </c>
      <c r="BO4" s="10" t="n">
        <v>0</v>
      </c>
      <c r="BP4" s="10" t="n">
        <f aca="false">IF(AND(ISNUMBER(BN4),ISNUMBER(BO4)),BN4+BO4,"")</f>
        <v>0</v>
      </c>
      <c r="BQ4" s="10" t="n">
        <v>0</v>
      </c>
      <c r="BR4" s="10" t="n">
        <v>1</v>
      </c>
      <c r="BS4" s="10" t="n">
        <v>0</v>
      </c>
    </row>
    <row r="5" customFormat="false" ht="15" hidden="false" customHeight="false" outlineLevel="0" collapsed="false">
      <c r="A5" s="8" t="s">
        <v>79</v>
      </c>
      <c r="B5" s="8" t="s">
        <v>72</v>
      </c>
      <c r="C5" s="8" t="n">
        <v>1</v>
      </c>
      <c r="D5" s="9" t="n">
        <v>8</v>
      </c>
      <c r="E5" s="9" t="n">
        <v>15</v>
      </c>
      <c r="F5" s="8" t="s">
        <v>73</v>
      </c>
      <c r="G5" s="8" t="s">
        <v>77</v>
      </c>
      <c r="H5" s="10" t="n">
        <v>0</v>
      </c>
      <c r="I5" s="10" t="n">
        <v>0.15</v>
      </c>
      <c r="J5" s="10" t="n">
        <v>0.15</v>
      </c>
      <c r="K5" s="8" t="n">
        <v>1</v>
      </c>
      <c r="L5" s="8" t="n">
        <v>15</v>
      </c>
      <c r="M5" s="10"/>
      <c r="N5" s="8" t="n">
        <v>0</v>
      </c>
      <c r="O5" s="9" t="n">
        <v>2</v>
      </c>
      <c r="P5" s="10" t="n">
        <f aca="false">IF(AND(ISNUMBER(O5),ISNUMBER(D5),D5&gt;0),O5/D5,"")</f>
        <v>0.25</v>
      </c>
      <c r="Q5" s="9" t="n">
        <v>4</v>
      </c>
      <c r="R5" s="9" t="n">
        <v>1</v>
      </c>
      <c r="S5" s="9" t="n">
        <v>0</v>
      </c>
      <c r="T5" s="11" t="n">
        <f aca="false">IF(AND(ISNUMBER(S5),ISNUMBER(D5),D5&gt;0),S5/D5,"")</f>
        <v>0</v>
      </c>
      <c r="U5" s="10"/>
      <c r="V5" s="10" t="n">
        <v>0.09</v>
      </c>
      <c r="W5" s="10" t="n">
        <v>0.03</v>
      </c>
      <c r="X5" s="10"/>
      <c r="Y5" s="8" t="n">
        <v>0</v>
      </c>
      <c r="Z5" s="8" t="s">
        <v>77</v>
      </c>
      <c r="AA5" s="8" t="n">
        <v>0</v>
      </c>
      <c r="AB5" s="8" t="n">
        <v>0</v>
      </c>
      <c r="AC5" s="11" t="n">
        <f aca="false">IF(AND(ISNUMBER(AA5),ISNUMBER(D5),D5&gt;0),AA5/D5*100,"")</f>
        <v>0</v>
      </c>
      <c r="AD5" s="12"/>
      <c r="AE5" s="8" t="s">
        <v>74</v>
      </c>
      <c r="AF5" s="8" t="s">
        <v>77</v>
      </c>
      <c r="AG5" s="12" t="n">
        <v>248.93</v>
      </c>
      <c r="AH5" s="12" t="n">
        <v>248.93</v>
      </c>
      <c r="AI5" s="12" t="n">
        <v>288.11</v>
      </c>
      <c r="AJ5" s="12" t="n">
        <v>325.34</v>
      </c>
      <c r="AK5" s="8" t="n">
        <v>15</v>
      </c>
      <c r="AL5" s="10" t="n">
        <v>1</v>
      </c>
      <c r="AM5" s="8" t="s">
        <v>77</v>
      </c>
      <c r="AN5" s="12"/>
      <c r="AO5" s="8" t="s">
        <v>77</v>
      </c>
      <c r="AP5" s="8" t="s">
        <v>77</v>
      </c>
      <c r="AQ5" s="10"/>
      <c r="AR5" s="8" t="n">
        <v>3</v>
      </c>
      <c r="AS5" s="8" t="n">
        <v>3</v>
      </c>
      <c r="AT5" s="8" t="n">
        <v>3</v>
      </c>
      <c r="AU5" s="8" t="n">
        <v>3</v>
      </c>
      <c r="AV5" s="8" t="n">
        <v>2</v>
      </c>
      <c r="AW5" s="8" t="n">
        <v>0</v>
      </c>
      <c r="AX5" s="8" t="n">
        <v>0</v>
      </c>
      <c r="AY5" s="8" t="n">
        <v>0</v>
      </c>
      <c r="AZ5" s="8" t="n">
        <v>0</v>
      </c>
      <c r="BA5" s="8" t="n">
        <v>0</v>
      </c>
      <c r="BB5" s="8" t="n">
        <v>0</v>
      </c>
      <c r="BC5" s="8" t="n">
        <v>0</v>
      </c>
      <c r="BD5" s="8" t="n">
        <v>0</v>
      </c>
      <c r="BE5" s="8" t="n">
        <v>0</v>
      </c>
      <c r="BF5" s="8" t="n">
        <v>0</v>
      </c>
      <c r="BG5" s="8"/>
      <c r="BH5" s="8" t="n">
        <v>0</v>
      </c>
      <c r="BI5" s="8" t="n">
        <v>0</v>
      </c>
      <c r="BJ5" s="9" t="n">
        <v>3</v>
      </c>
      <c r="BK5" s="9" t="n">
        <v>0</v>
      </c>
      <c r="BL5" s="9" t="n">
        <v>0</v>
      </c>
      <c r="BM5" s="9" t="n">
        <v>0</v>
      </c>
      <c r="BN5" s="10" t="n">
        <v>0</v>
      </c>
      <c r="BO5" s="10" t="n">
        <v>0</v>
      </c>
      <c r="BP5" s="10" t="n">
        <f aca="false">IF(AND(ISNUMBER(BN5),ISNUMBER(BO5)),BN5+BO5,"")</f>
        <v>0</v>
      </c>
      <c r="BQ5" s="10" t="n">
        <v>1</v>
      </c>
      <c r="BR5" s="10" t="n">
        <v>0</v>
      </c>
      <c r="BS5" s="10" t="n">
        <v>0</v>
      </c>
    </row>
    <row r="6" customFormat="false" ht="15" hidden="false" customHeight="false" outlineLevel="0" collapsed="false">
      <c r="A6" s="8" t="s">
        <v>80</v>
      </c>
      <c r="B6" s="8" t="s">
        <v>72</v>
      </c>
      <c r="C6" s="8" t="n">
        <v>1</v>
      </c>
      <c r="D6" s="9" t="n">
        <v>116</v>
      </c>
      <c r="E6" s="9" t="n">
        <v>45</v>
      </c>
      <c r="F6" s="8" t="s">
        <v>81</v>
      </c>
      <c r="G6" s="8" t="s">
        <v>74</v>
      </c>
      <c r="H6" s="10" t="n">
        <v>0</v>
      </c>
      <c r="I6" s="10" t="n">
        <v>0.01</v>
      </c>
      <c r="J6" s="10" t="n">
        <v>0.007</v>
      </c>
      <c r="K6" s="8" t="n">
        <v>0</v>
      </c>
      <c r="L6" s="8" t="n">
        <v>20</v>
      </c>
      <c r="M6" s="10" t="n">
        <v>0.003</v>
      </c>
      <c r="N6" s="8" t="n">
        <v>0</v>
      </c>
      <c r="O6" s="9" t="n">
        <v>11</v>
      </c>
      <c r="P6" s="10" t="n">
        <f aca="false">IF(AND(ISNUMBER(O6),ISNUMBER(D6),D6&gt;0),O6/D6,"")</f>
        <v>0.0948275862068966</v>
      </c>
      <c r="Q6" s="9" t="n">
        <v>19</v>
      </c>
      <c r="R6" s="9" t="n">
        <v>13</v>
      </c>
      <c r="S6" s="9" t="n">
        <v>53</v>
      </c>
      <c r="T6" s="11" t="n">
        <f aca="false">IF(AND(ISNUMBER(S6),ISNUMBER(D6),D6&gt;0),S6/D6,"")</f>
        <v>0.456896551724138</v>
      </c>
      <c r="U6" s="10" t="n">
        <v>0.087</v>
      </c>
      <c r="V6" s="10" t="n">
        <v>0.09</v>
      </c>
      <c r="W6" s="10" t="n">
        <v>0.06</v>
      </c>
      <c r="X6" s="10" t="n">
        <v>0.045</v>
      </c>
      <c r="Y6" s="8" t="n">
        <v>0</v>
      </c>
      <c r="Z6" s="8" t="s">
        <v>74</v>
      </c>
      <c r="AA6" s="8" t="n">
        <v>11</v>
      </c>
      <c r="AB6" s="8" t="n">
        <v>0</v>
      </c>
      <c r="AC6" s="11" t="n">
        <f aca="false">IF(AND(ISNUMBER(AA6),ISNUMBER(D6),D6&gt;0),AA6/D6*100,"")</f>
        <v>9.48275862068966</v>
      </c>
      <c r="AD6" s="12" t="n">
        <v>1250</v>
      </c>
      <c r="AE6" s="8" t="s">
        <v>74</v>
      </c>
      <c r="AF6" s="8" t="s">
        <v>77</v>
      </c>
      <c r="AG6" s="12" t="n">
        <v>275</v>
      </c>
      <c r="AH6" s="12" t="n">
        <v>295.66</v>
      </c>
      <c r="AI6" s="12" t="n">
        <v>336.35</v>
      </c>
      <c r="AJ6" s="12" t="n">
        <v>374.33</v>
      </c>
      <c r="AK6" s="8" t="n">
        <v>18</v>
      </c>
      <c r="AL6" s="10" t="n">
        <v>0.5</v>
      </c>
      <c r="AM6" s="8" t="s">
        <v>77</v>
      </c>
      <c r="AN6" s="12"/>
      <c r="AO6" s="8" t="s">
        <v>77</v>
      </c>
      <c r="AP6" s="8" t="s">
        <v>74</v>
      </c>
      <c r="AQ6" s="10" t="n">
        <v>0.8</v>
      </c>
      <c r="AR6" s="8" t="n">
        <v>2</v>
      </c>
      <c r="AS6" s="8" t="n">
        <v>1</v>
      </c>
      <c r="AT6" s="8" t="n">
        <v>0</v>
      </c>
      <c r="AU6" s="8" t="n">
        <v>1</v>
      </c>
      <c r="AV6" s="8" t="n">
        <v>2</v>
      </c>
      <c r="AW6" s="8" t="n">
        <v>2</v>
      </c>
      <c r="AX6" s="8" t="n">
        <v>2</v>
      </c>
      <c r="AY6" s="8" t="n">
        <v>1</v>
      </c>
      <c r="AZ6" s="8" t="n">
        <v>2</v>
      </c>
      <c r="BA6" s="8" t="n">
        <v>2</v>
      </c>
      <c r="BB6" s="8" t="n">
        <v>1</v>
      </c>
      <c r="BC6" s="8" t="n">
        <v>3</v>
      </c>
      <c r="BD6" s="8" t="n">
        <v>1</v>
      </c>
      <c r="BE6" s="8" t="n">
        <v>1</v>
      </c>
      <c r="BF6" s="8" t="n">
        <v>1</v>
      </c>
      <c r="BG6" s="8" t="n">
        <v>1</v>
      </c>
      <c r="BH6" s="8" t="n">
        <v>4</v>
      </c>
      <c r="BI6" s="8" t="n">
        <v>1</v>
      </c>
      <c r="BJ6" s="9" t="n">
        <v>10</v>
      </c>
      <c r="BK6" s="9" t="n">
        <v>1</v>
      </c>
      <c r="BL6" s="9" t="n">
        <v>1</v>
      </c>
      <c r="BM6" s="9" t="n">
        <v>1</v>
      </c>
      <c r="BN6" s="10" t="n">
        <v>0</v>
      </c>
      <c r="BO6" s="10" t="n">
        <v>0.2</v>
      </c>
      <c r="BP6" s="10" t="n">
        <f aca="false">IF(AND(ISNUMBER(BN6),ISNUMBER(BO6)),BN6+BO6,"")</f>
        <v>0.2</v>
      </c>
      <c r="BQ6" s="10" t="n">
        <v>0.7</v>
      </c>
      <c r="BR6" s="10" t="n">
        <v>0.1</v>
      </c>
      <c r="BS6" s="10" t="n">
        <v>0</v>
      </c>
    </row>
    <row r="7" customFormat="false" ht="15" hidden="false" customHeight="false" outlineLevel="0" collapsed="false">
      <c r="A7" s="8" t="s">
        <v>82</v>
      </c>
      <c r="B7" s="8" t="s">
        <v>72</v>
      </c>
      <c r="C7" s="8" t="n">
        <v>1</v>
      </c>
      <c r="D7" s="9" t="n">
        <v>222</v>
      </c>
      <c r="E7" s="9" t="n">
        <v>146</v>
      </c>
      <c r="F7" s="8" t="s">
        <v>76</v>
      </c>
      <c r="G7" s="8" t="s">
        <v>74</v>
      </c>
      <c r="H7" s="10" t="n">
        <v>0</v>
      </c>
      <c r="I7" s="10" t="n">
        <v>0.059</v>
      </c>
      <c r="J7" s="10" t="n">
        <v>0.043</v>
      </c>
      <c r="K7" s="8" t="n">
        <v>0</v>
      </c>
      <c r="L7" s="8" t="n">
        <v>5</v>
      </c>
      <c r="M7" s="10" t="n">
        <v>0.15</v>
      </c>
      <c r="N7" s="8" t="n">
        <v>1</v>
      </c>
      <c r="O7" s="9" t="n">
        <v>31</v>
      </c>
      <c r="P7" s="10" t="n">
        <f aca="false">IF(AND(ISNUMBER(O7),ISNUMBER(D7),D7&gt;0),O7/D7,"")</f>
        <v>0.13963963963964</v>
      </c>
      <c r="Q7" s="9" t="n">
        <v>47</v>
      </c>
      <c r="R7" s="9" t="n">
        <v>24</v>
      </c>
      <c r="S7" s="9" t="n">
        <v>447</v>
      </c>
      <c r="T7" s="11" t="n">
        <f aca="false">IF(AND(ISNUMBER(S7),ISNUMBER(D7),D7&gt;0),S7/D7,"")</f>
        <v>2.01351351351351</v>
      </c>
      <c r="U7" s="10" t="n">
        <v>0.12</v>
      </c>
      <c r="V7" s="10" t="n">
        <v>0.12</v>
      </c>
      <c r="W7" s="10" t="n">
        <v>0.1</v>
      </c>
      <c r="X7" s="10" t="n">
        <v>0.02</v>
      </c>
      <c r="Y7" s="8" t="n">
        <v>0</v>
      </c>
      <c r="Z7" s="8" t="s">
        <v>74</v>
      </c>
      <c r="AA7" s="8" t="n">
        <v>5</v>
      </c>
      <c r="AB7" s="8" t="n">
        <v>0</v>
      </c>
      <c r="AC7" s="11" t="n">
        <f aca="false">IF(AND(ISNUMBER(AA7),ISNUMBER(D7),D7&gt;0),AA7/D7*100,"")</f>
        <v>2.25225225225225</v>
      </c>
      <c r="AD7" s="12" t="n">
        <v>858.8</v>
      </c>
      <c r="AE7" s="8" t="s">
        <v>74</v>
      </c>
      <c r="AF7" s="8" t="s">
        <v>77</v>
      </c>
      <c r="AG7" s="12" t="n">
        <v>305.52</v>
      </c>
      <c r="AH7" s="12" t="n">
        <v>334.24</v>
      </c>
      <c r="AI7" s="12" t="n">
        <v>372.57</v>
      </c>
      <c r="AJ7" s="12" t="n">
        <v>406.44</v>
      </c>
      <c r="AK7" s="8" t="n">
        <v>15</v>
      </c>
      <c r="AL7" s="10" t="n">
        <v>0.25</v>
      </c>
      <c r="AM7" s="8" t="s">
        <v>74</v>
      </c>
      <c r="AN7" s="12" t="n">
        <v>75</v>
      </c>
      <c r="AO7" s="8" t="s">
        <v>74</v>
      </c>
      <c r="AP7" s="8" t="s">
        <v>74</v>
      </c>
      <c r="AQ7" s="10" t="n">
        <v>0.7</v>
      </c>
      <c r="AR7" s="8" t="n">
        <v>3</v>
      </c>
      <c r="AS7" s="8" t="n">
        <v>2</v>
      </c>
      <c r="AT7" s="8" t="n">
        <v>1</v>
      </c>
      <c r="AU7" s="8" t="n">
        <v>0</v>
      </c>
      <c r="AV7" s="8" t="n">
        <v>3</v>
      </c>
      <c r="AW7" s="8" t="n">
        <v>4</v>
      </c>
      <c r="AX7" s="8" t="n">
        <v>2</v>
      </c>
      <c r="AY7" s="8" t="n">
        <v>1</v>
      </c>
      <c r="AZ7" s="8" t="n">
        <v>4</v>
      </c>
      <c r="BA7" s="8" t="n">
        <v>2</v>
      </c>
      <c r="BB7" s="8" t="n">
        <v>1</v>
      </c>
      <c r="BC7" s="8" t="n">
        <v>2</v>
      </c>
      <c r="BD7" s="8" t="n">
        <v>1</v>
      </c>
      <c r="BE7" s="8" t="n">
        <v>3</v>
      </c>
      <c r="BF7" s="8" t="n">
        <v>1</v>
      </c>
      <c r="BG7" s="8" t="n">
        <v>0</v>
      </c>
      <c r="BH7" s="8" t="n">
        <v>3</v>
      </c>
      <c r="BI7" s="8" t="n">
        <v>3</v>
      </c>
      <c r="BJ7" s="9" t="n">
        <v>5</v>
      </c>
      <c r="BK7" s="9"/>
      <c r="BL7" s="9" t="n">
        <v>25</v>
      </c>
      <c r="BM7" s="9" t="n">
        <v>6</v>
      </c>
      <c r="BN7" s="10" t="n">
        <v>0</v>
      </c>
      <c r="BO7" s="10" t="n">
        <v>0.5</v>
      </c>
      <c r="BP7" s="10" t="n">
        <f aca="false">IF(AND(ISNUMBER(BN7),ISNUMBER(BO7)),BN7+BO7,"")</f>
        <v>0.5</v>
      </c>
      <c r="BQ7" s="10" t="n">
        <v>0.3</v>
      </c>
      <c r="BR7" s="10" t="n">
        <v>0.1</v>
      </c>
      <c r="BS7" s="10" t="n">
        <v>0.1</v>
      </c>
    </row>
    <row r="8" customFormat="false" ht="15" hidden="false" customHeight="false" outlineLevel="0" collapsed="false">
      <c r="A8" s="8" t="s">
        <v>83</v>
      </c>
      <c r="B8" s="8" t="s">
        <v>72</v>
      </c>
      <c r="C8" s="8" t="n">
        <v>1</v>
      </c>
      <c r="D8" s="9" t="n">
        <v>1536</v>
      </c>
      <c r="E8" s="9" t="n">
        <v>1072</v>
      </c>
      <c r="F8" s="8" t="s">
        <v>76</v>
      </c>
      <c r="G8" s="8" t="s">
        <v>74</v>
      </c>
      <c r="H8" s="10" t="n">
        <v>0.8</v>
      </c>
      <c r="I8" s="10" t="n">
        <v>0.02</v>
      </c>
      <c r="J8" s="10" t="n">
        <v>0.017</v>
      </c>
      <c r="K8" s="8" t="n">
        <v>0</v>
      </c>
      <c r="L8" s="8" t="n">
        <v>30</v>
      </c>
      <c r="M8" s="10" t="n">
        <v>0.005</v>
      </c>
      <c r="N8" s="8" t="n">
        <v>0</v>
      </c>
      <c r="O8" s="9" t="n">
        <v>115</v>
      </c>
      <c r="P8" s="10" t="n">
        <f aca="false">IF(AND(ISNUMBER(O8),ISNUMBER(D8),D8&gt;0),O8/D8,"")</f>
        <v>0.0748697916666667</v>
      </c>
      <c r="Q8" s="9" t="n">
        <v>10</v>
      </c>
      <c r="R8" s="9"/>
      <c r="S8" s="9" t="n">
        <v>941</v>
      </c>
      <c r="T8" s="11" t="n">
        <f aca="false">IF(AND(ISNUMBER(S8),ISNUMBER(D8),D8&gt;0),S8/D8,"")</f>
        <v>0.612630208333333</v>
      </c>
      <c r="U8" s="10" t="n">
        <v>0.09</v>
      </c>
      <c r="V8" s="10" t="n">
        <v>0.06</v>
      </c>
      <c r="W8" s="10" t="n">
        <v>0.11</v>
      </c>
      <c r="X8" s="10" t="n">
        <v>0.03</v>
      </c>
      <c r="Y8" s="8" t="n">
        <v>0</v>
      </c>
      <c r="Z8" s="8" t="s">
        <v>74</v>
      </c>
      <c r="AA8" s="8" t="n">
        <v>15</v>
      </c>
      <c r="AB8" s="8" t="n">
        <v>0</v>
      </c>
      <c r="AC8" s="11" t="n">
        <f aca="false">IF(AND(ISNUMBER(AA8),ISNUMBER(D8),D8&gt;0),AA8/D8*100,"")</f>
        <v>0.9765625</v>
      </c>
      <c r="AD8" s="12" t="n">
        <v>1000000</v>
      </c>
      <c r="AE8" s="8" t="s">
        <v>74</v>
      </c>
      <c r="AF8" s="8" t="s">
        <v>77</v>
      </c>
      <c r="AG8" s="12" t="n">
        <v>242.6</v>
      </c>
      <c r="AH8" s="12" t="n">
        <v>291.3</v>
      </c>
      <c r="AI8" s="12" t="n">
        <v>320.85</v>
      </c>
      <c r="AJ8" s="12" t="n">
        <v>651.82</v>
      </c>
      <c r="AK8" s="8" t="n">
        <v>32</v>
      </c>
      <c r="AL8" s="10" t="n">
        <v>0.85</v>
      </c>
      <c r="AM8" s="8" t="s">
        <v>74</v>
      </c>
      <c r="AN8" s="12" t="n">
        <v>13</v>
      </c>
      <c r="AO8" s="8" t="s">
        <v>74</v>
      </c>
      <c r="AP8" s="8" t="s">
        <v>74</v>
      </c>
      <c r="AQ8" s="10" t="n">
        <v>0.76</v>
      </c>
      <c r="AR8" s="8" t="n">
        <v>3</v>
      </c>
      <c r="AS8" s="8" t="n">
        <v>2</v>
      </c>
      <c r="AT8" s="8" t="n">
        <v>1</v>
      </c>
      <c r="AU8" s="8" t="n">
        <v>1</v>
      </c>
      <c r="AV8" s="8" t="n">
        <v>3</v>
      </c>
      <c r="AW8" s="8" t="n">
        <v>1</v>
      </c>
      <c r="AX8" s="8" t="n">
        <v>1</v>
      </c>
      <c r="AY8" s="8" t="n">
        <v>1</v>
      </c>
      <c r="AZ8" s="8" t="n">
        <v>2</v>
      </c>
      <c r="BA8" s="8"/>
      <c r="BB8" s="8" t="n">
        <v>1</v>
      </c>
      <c r="BC8" s="8" t="n">
        <v>1</v>
      </c>
      <c r="BD8" s="8" t="n">
        <v>1</v>
      </c>
      <c r="BE8" s="8" t="n">
        <v>0</v>
      </c>
      <c r="BF8" s="8" t="n">
        <v>2</v>
      </c>
      <c r="BG8" s="8" t="n">
        <v>1</v>
      </c>
      <c r="BH8" s="8" t="n">
        <v>2</v>
      </c>
      <c r="BI8" s="8" t="n">
        <v>3</v>
      </c>
      <c r="BJ8" s="9" t="n">
        <v>69</v>
      </c>
      <c r="BK8" s="9" t="n">
        <v>2</v>
      </c>
      <c r="BL8" s="9" t="n">
        <v>41</v>
      </c>
      <c r="BM8" s="9" t="n">
        <v>18</v>
      </c>
      <c r="BN8" s="10" t="n">
        <v>0.2</v>
      </c>
      <c r="BO8" s="10" t="n">
        <v>0.1</v>
      </c>
      <c r="BP8" s="10" t="n">
        <f aca="false">IF(AND(ISNUMBER(BN8),ISNUMBER(BO8)),BN8+BO8,"")</f>
        <v>0.3</v>
      </c>
      <c r="BQ8" s="10" t="n">
        <v>0.1</v>
      </c>
      <c r="BR8" s="10" t="n">
        <v>0.5</v>
      </c>
      <c r="BS8" s="10" t="n">
        <v>0.1</v>
      </c>
    </row>
    <row r="9" customFormat="false" ht="15" hidden="false" customHeight="false" outlineLevel="0" collapsed="false">
      <c r="A9" s="8" t="s">
        <v>84</v>
      </c>
      <c r="B9" s="8" t="s">
        <v>72</v>
      </c>
      <c r="C9" s="8" t="n">
        <v>1</v>
      </c>
      <c r="D9" s="9" t="n">
        <v>223</v>
      </c>
      <c r="E9" s="9" t="n">
        <v>482</v>
      </c>
      <c r="F9" s="8" t="s">
        <v>76</v>
      </c>
      <c r="G9" s="8" t="s">
        <v>74</v>
      </c>
      <c r="H9" s="10" t="n">
        <v>0.7</v>
      </c>
      <c r="I9" s="10" t="n">
        <v>0.05</v>
      </c>
      <c r="J9" s="10" t="n">
        <v>0.03</v>
      </c>
      <c r="K9" s="8" t="n">
        <v>0</v>
      </c>
      <c r="L9" s="8"/>
      <c r="M9" s="10" t="n">
        <v>0.011</v>
      </c>
      <c r="N9" s="8" t="n">
        <v>0</v>
      </c>
      <c r="O9" s="9" t="n">
        <v>6</v>
      </c>
      <c r="P9" s="10" t="n">
        <f aca="false">IF(AND(ISNUMBER(O9),ISNUMBER(D9),D9&gt;0),O9/D9,"")</f>
        <v>0.0269058295964126</v>
      </c>
      <c r="Q9" s="9" t="n">
        <v>33</v>
      </c>
      <c r="R9" s="9" t="n">
        <v>28</v>
      </c>
      <c r="S9" s="9" t="n">
        <v>43</v>
      </c>
      <c r="T9" s="11" t="n">
        <f aca="false">IF(AND(ISNUMBER(S9),ISNUMBER(D9),D9&gt;0),S9/D9,"")</f>
        <v>0.192825112107623</v>
      </c>
      <c r="U9" s="10" t="n">
        <v>0.065</v>
      </c>
      <c r="V9" s="10" t="n">
        <v>0.06</v>
      </c>
      <c r="W9" s="10" t="n">
        <v>0.06</v>
      </c>
      <c r="X9" s="10" t="n">
        <v>0.04</v>
      </c>
      <c r="Y9" s="8" t="n">
        <v>0</v>
      </c>
      <c r="Z9" s="8" t="s">
        <v>74</v>
      </c>
      <c r="AA9" s="8" t="n">
        <v>20</v>
      </c>
      <c r="AB9" s="8" t="n">
        <v>0</v>
      </c>
      <c r="AC9" s="11" t="n">
        <f aca="false">IF(AND(ISNUMBER(AA9),ISNUMBER(D9),D9&gt;0),AA9/D9*100,"")</f>
        <v>8.96860986547085</v>
      </c>
      <c r="AD9" s="12" t="n">
        <v>1500</v>
      </c>
      <c r="AE9" s="8" t="s">
        <v>74</v>
      </c>
      <c r="AF9" s="8" t="s">
        <v>77</v>
      </c>
      <c r="AG9" s="12" t="n">
        <v>283</v>
      </c>
      <c r="AH9" s="12" t="n">
        <v>326</v>
      </c>
      <c r="AI9" s="12" t="n">
        <v>356</v>
      </c>
      <c r="AJ9" s="12" t="n">
        <v>388</v>
      </c>
      <c r="AK9" s="8" t="n">
        <v>18</v>
      </c>
      <c r="AL9" s="10" t="n">
        <v>0.25</v>
      </c>
      <c r="AM9" s="8" t="s">
        <v>74</v>
      </c>
      <c r="AN9" s="12" t="n">
        <v>70</v>
      </c>
      <c r="AO9" s="8" t="s">
        <v>74</v>
      </c>
      <c r="AP9" s="8"/>
      <c r="AQ9" s="10" t="n">
        <v>0.95</v>
      </c>
      <c r="AR9" s="8" t="n">
        <v>4</v>
      </c>
      <c r="AS9" s="8" t="n">
        <v>1</v>
      </c>
      <c r="AT9" s="8" t="n">
        <v>1</v>
      </c>
      <c r="AU9" s="8" t="n">
        <v>1</v>
      </c>
      <c r="AV9" s="8" t="n">
        <v>1</v>
      </c>
      <c r="AW9" s="8" t="n">
        <v>4</v>
      </c>
      <c r="AX9" s="8" t="n">
        <v>2</v>
      </c>
      <c r="AY9" s="8" t="n">
        <v>1</v>
      </c>
      <c r="AZ9" s="8" t="n">
        <v>3</v>
      </c>
      <c r="BA9" s="8" t="n">
        <v>4</v>
      </c>
      <c r="BB9" s="8" t="n">
        <v>4</v>
      </c>
      <c r="BC9" s="8" t="n">
        <v>5</v>
      </c>
      <c r="BD9" s="8" t="n">
        <v>1</v>
      </c>
      <c r="BE9" s="8" t="n">
        <v>3</v>
      </c>
      <c r="BF9" s="8" t="n">
        <v>3</v>
      </c>
      <c r="BG9" s="8" t="n">
        <v>1</v>
      </c>
      <c r="BH9" s="8" t="n">
        <v>4</v>
      </c>
      <c r="BI9" s="8" t="n">
        <v>5</v>
      </c>
      <c r="BJ9" s="9" t="n">
        <v>3</v>
      </c>
      <c r="BK9" s="9" t="n">
        <v>2</v>
      </c>
      <c r="BL9" s="9" t="n">
        <v>2</v>
      </c>
      <c r="BM9" s="9" t="n">
        <v>5</v>
      </c>
      <c r="BN9" s="10" t="n">
        <v>0</v>
      </c>
      <c r="BO9" s="10" t="n">
        <v>0</v>
      </c>
      <c r="BP9" s="10" t="n">
        <f aca="false">IF(AND(ISNUMBER(BN9),ISNUMBER(BO9)),BN9+BO9,"")</f>
        <v>0</v>
      </c>
      <c r="BQ9" s="10" t="n">
        <v>0</v>
      </c>
      <c r="BR9" s="10" t="n">
        <v>1</v>
      </c>
      <c r="BS9" s="10" t="n">
        <v>0</v>
      </c>
    </row>
    <row r="10" customFormat="false" ht="15" hidden="false" customHeight="false" outlineLevel="0" collapsed="false">
      <c r="A10" s="8" t="s">
        <v>85</v>
      </c>
      <c r="B10" s="8" t="s">
        <v>72</v>
      </c>
      <c r="C10" s="8" t="n">
        <v>1</v>
      </c>
      <c r="D10" s="9" t="n">
        <v>210</v>
      </c>
      <c r="E10" s="9" t="n">
        <v>91</v>
      </c>
      <c r="F10" s="8" t="s">
        <v>76</v>
      </c>
      <c r="G10" s="8" t="s">
        <v>74</v>
      </c>
      <c r="H10" s="10"/>
      <c r="I10" s="10"/>
      <c r="J10" s="10"/>
      <c r="K10" s="8" t="n">
        <v>0</v>
      </c>
      <c r="L10" s="8" t="n">
        <v>7</v>
      </c>
      <c r="M10" s="10"/>
      <c r="N10" s="8" t="n">
        <v>0</v>
      </c>
      <c r="O10" s="9" t="n">
        <v>41</v>
      </c>
      <c r="P10" s="10" t="n">
        <f aca="false">IF(AND(ISNUMBER(O10),ISNUMBER(D10),D10&gt;0),O10/D10,"")</f>
        <v>0.195238095238095</v>
      </c>
      <c r="Q10" s="9" t="n">
        <v>12</v>
      </c>
      <c r="R10" s="9" t="n">
        <v>12</v>
      </c>
      <c r="S10" s="9" t="n">
        <v>54</v>
      </c>
      <c r="T10" s="11" t="n">
        <f aca="false">IF(AND(ISNUMBER(S10),ISNUMBER(D10),D10&gt;0),S10/D10,"")</f>
        <v>0.257142857142857</v>
      </c>
      <c r="U10" s="10" t="n">
        <v>0.064</v>
      </c>
      <c r="V10" s="10" t="n">
        <v>0.1</v>
      </c>
      <c r="W10" s="10"/>
      <c r="X10" s="10" t="n">
        <v>0.075</v>
      </c>
      <c r="Y10" s="8" t="n">
        <v>0</v>
      </c>
      <c r="Z10" s="8" t="s">
        <v>74</v>
      </c>
      <c r="AA10" s="8" t="n">
        <v>6</v>
      </c>
      <c r="AB10" s="8" t="n">
        <v>0</v>
      </c>
      <c r="AC10" s="11" t="n">
        <f aca="false">IF(AND(ISNUMBER(AA10),ISNUMBER(D10),D10&gt;0),AA10/D10*100,"")</f>
        <v>2.85714285714286</v>
      </c>
      <c r="AD10" s="12" t="n">
        <v>360</v>
      </c>
      <c r="AE10" s="8"/>
      <c r="AF10" s="8"/>
      <c r="AG10" s="12" t="n">
        <v>235</v>
      </c>
      <c r="AH10" s="12" t="n">
        <v>294</v>
      </c>
      <c r="AI10" s="12" t="n">
        <v>318</v>
      </c>
      <c r="AJ10" s="12" t="n">
        <v>350</v>
      </c>
      <c r="AK10" s="8" t="n">
        <v>15</v>
      </c>
      <c r="AL10" s="10" t="n">
        <v>1</v>
      </c>
      <c r="AM10" s="8" t="s">
        <v>74</v>
      </c>
      <c r="AN10" s="12" t="n">
        <v>18</v>
      </c>
      <c r="AO10" s="8"/>
      <c r="AP10" s="8"/>
      <c r="AQ10" s="10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9" t="n">
        <v>13</v>
      </c>
      <c r="BK10" s="9" t="n">
        <v>15</v>
      </c>
      <c r="BL10" s="9" t="n">
        <v>1</v>
      </c>
      <c r="BM10" s="9" t="n">
        <v>9</v>
      </c>
      <c r="BN10" s="10"/>
      <c r="BO10" s="10"/>
      <c r="BP10" s="10" t="str">
        <f aca="false">IF(AND(ISNUMBER(BN10),ISNUMBER(BO10)),BN10+BO10,"")</f>
        <v/>
      </c>
      <c r="BQ10" s="10"/>
      <c r="BR10" s="10"/>
      <c r="BS10" s="10"/>
    </row>
    <row r="11" customFormat="false" ht="15" hidden="false" customHeight="false" outlineLevel="0" collapsed="false">
      <c r="A11" s="8" t="s">
        <v>86</v>
      </c>
      <c r="B11" s="8" t="s">
        <v>72</v>
      </c>
      <c r="C11" s="8" t="n">
        <v>1</v>
      </c>
      <c r="D11" s="9" t="n">
        <v>350</v>
      </c>
      <c r="E11" s="9" t="n">
        <v>80</v>
      </c>
      <c r="F11" s="8" t="s">
        <v>76</v>
      </c>
      <c r="G11" s="8" t="s">
        <v>77</v>
      </c>
      <c r="H11" s="10"/>
      <c r="I11" s="10" t="n">
        <v>0.03</v>
      </c>
      <c r="J11" s="10" t="n">
        <v>0.134</v>
      </c>
      <c r="K11" s="8" t="n">
        <v>0</v>
      </c>
      <c r="L11" s="8" t="n">
        <v>7</v>
      </c>
      <c r="M11" s="10" t="n">
        <v>0.025</v>
      </c>
      <c r="N11" s="8" t="n">
        <v>0</v>
      </c>
      <c r="O11" s="9" t="n">
        <v>156</v>
      </c>
      <c r="P11" s="10" t="n">
        <f aca="false">IF(AND(ISNUMBER(O11),ISNUMBER(D11),D11&gt;0),O11/D11,"")</f>
        <v>0.445714285714286</v>
      </c>
      <c r="Q11" s="9" t="n">
        <v>155</v>
      </c>
      <c r="R11" s="9" t="n">
        <v>100</v>
      </c>
      <c r="S11" s="9" t="n">
        <v>110</v>
      </c>
      <c r="T11" s="11" t="n">
        <f aca="false">IF(AND(ISNUMBER(S11),ISNUMBER(D11),D11&gt;0),S11/D11,"")</f>
        <v>0.314285714285714</v>
      </c>
      <c r="U11" s="10" t="n">
        <v>0.04</v>
      </c>
      <c r="V11" s="10"/>
      <c r="W11" s="10"/>
      <c r="X11" s="10" t="n">
        <v>0.1</v>
      </c>
      <c r="Y11" s="8" t="n">
        <v>0</v>
      </c>
      <c r="Z11" s="8" t="s">
        <v>74</v>
      </c>
      <c r="AA11" s="8" t="n">
        <v>4</v>
      </c>
      <c r="AB11" s="8" t="n">
        <v>0</v>
      </c>
      <c r="AC11" s="11" t="n">
        <f aca="false">IF(AND(ISNUMBER(AA11),ISNUMBER(D11),D11&gt;0),AA11/D11*100,"")</f>
        <v>1.14285714285714</v>
      </c>
      <c r="AD11" s="12" t="n">
        <v>270</v>
      </c>
      <c r="AE11" s="8" t="s">
        <v>77</v>
      </c>
      <c r="AF11" s="8" t="s">
        <v>77</v>
      </c>
      <c r="AG11" s="12" t="n">
        <v>271.43</v>
      </c>
      <c r="AH11" s="12" t="n">
        <v>288</v>
      </c>
      <c r="AI11" s="12" t="n">
        <v>305</v>
      </c>
      <c r="AJ11" s="12" t="n">
        <v>320</v>
      </c>
      <c r="AK11" s="8" t="n">
        <v>20</v>
      </c>
      <c r="AL11" s="10" t="n">
        <v>0.25</v>
      </c>
      <c r="AM11" s="8" t="s">
        <v>74</v>
      </c>
      <c r="AN11" s="12" t="n">
        <v>33</v>
      </c>
      <c r="AO11" s="8" t="s">
        <v>77</v>
      </c>
      <c r="AP11" s="8" t="s">
        <v>77</v>
      </c>
      <c r="AQ11" s="10" t="n">
        <v>0.9</v>
      </c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9" t="n">
        <v>59</v>
      </c>
      <c r="BK11" s="9" t="n">
        <v>46</v>
      </c>
      <c r="BL11" s="9" t="n">
        <v>50</v>
      </c>
      <c r="BM11" s="9" t="n">
        <v>8</v>
      </c>
      <c r="BN11" s="10" t="n">
        <v>0</v>
      </c>
      <c r="BO11" s="10" t="n">
        <v>1</v>
      </c>
      <c r="BP11" s="10" t="n">
        <f aca="false">IF(AND(ISNUMBER(BN11),ISNUMBER(BO11)),BN11+BO11,"")</f>
        <v>1</v>
      </c>
      <c r="BQ11" s="10" t="n">
        <v>0</v>
      </c>
      <c r="BR11" s="10" t="n">
        <v>0</v>
      </c>
      <c r="BS11" s="10" t="n">
        <v>0</v>
      </c>
    </row>
    <row r="12" customFormat="false" ht="15" hidden="false" customHeight="false" outlineLevel="0" collapsed="false">
      <c r="A12" s="8" t="s">
        <v>87</v>
      </c>
      <c r="B12" s="8" t="s">
        <v>72</v>
      </c>
      <c r="C12" s="8" t="n">
        <v>1</v>
      </c>
      <c r="D12" s="9" t="n">
        <v>178</v>
      </c>
      <c r="E12" s="9" t="n">
        <v>93</v>
      </c>
      <c r="F12" s="8" t="s">
        <v>76</v>
      </c>
      <c r="G12" s="8" t="s">
        <v>74</v>
      </c>
      <c r="H12" s="10" t="n">
        <v>0.3</v>
      </c>
      <c r="I12" s="10" t="n">
        <v>0.05</v>
      </c>
      <c r="J12" s="10" t="n">
        <v>0.017</v>
      </c>
      <c r="K12" s="8" t="n">
        <v>0</v>
      </c>
      <c r="L12" s="8" t="n">
        <v>5</v>
      </c>
      <c r="M12" s="10" t="n">
        <v>0.03</v>
      </c>
      <c r="N12" s="8" t="n">
        <v>0</v>
      </c>
      <c r="O12" s="9" t="n">
        <v>68</v>
      </c>
      <c r="P12" s="10" t="n">
        <f aca="false">IF(AND(ISNUMBER(O12),ISNUMBER(D12),D12&gt;0),O12/D12,"")</f>
        <v>0.382022471910112</v>
      </c>
      <c r="Q12" s="9" t="n">
        <v>104</v>
      </c>
      <c r="R12" s="9" t="n">
        <v>26</v>
      </c>
      <c r="S12" s="9" t="n">
        <v>100</v>
      </c>
      <c r="T12" s="11" t="n">
        <f aca="false">IF(AND(ISNUMBER(S12),ISNUMBER(D12),D12&gt;0),S12/D12,"")</f>
        <v>0.561797752808989</v>
      </c>
      <c r="U12" s="10" t="n">
        <v>0.05</v>
      </c>
      <c r="V12" s="10"/>
      <c r="W12" s="10"/>
      <c r="X12" s="10" t="n">
        <v>0.1</v>
      </c>
      <c r="Y12" s="8" t="n">
        <v>0</v>
      </c>
      <c r="Z12" s="8" t="s">
        <v>74</v>
      </c>
      <c r="AA12" s="8" t="n">
        <v>6</v>
      </c>
      <c r="AB12" s="8" t="n">
        <v>0</v>
      </c>
      <c r="AC12" s="11" t="n">
        <f aca="false">IF(AND(ISNUMBER(AA12),ISNUMBER(D12),D12&gt;0),AA12/D12*100,"")</f>
        <v>3.37078651685393</v>
      </c>
      <c r="AD12" s="12" t="n">
        <v>95</v>
      </c>
      <c r="AE12" s="8" t="s">
        <v>74</v>
      </c>
      <c r="AF12" s="8" t="s">
        <v>74</v>
      </c>
      <c r="AG12" s="12" t="n">
        <v>258</v>
      </c>
      <c r="AH12" s="12" t="n">
        <v>311</v>
      </c>
      <c r="AI12" s="12" t="n">
        <v>348</v>
      </c>
      <c r="AJ12" s="12" t="n">
        <v>441</v>
      </c>
      <c r="AK12" s="8" t="n">
        <v>15</v>
      </c>
      <c r="AL12" s="10" t="n">
        <v>0.25</v>
      </c>
      <c r="AM12" s="8" t="s">
        <v>77</v>
      </c>
      <c r="AN12" s="12"/>
      <c r="AO12" s="8" t="s">
        <v>77</v>
      </c>
      <c r="AP12" s="8" t="s">
        <v>74</v>
      </c>
      <c r="AQ12" s="10" t="n">
        <v>0.85</v>
      </c>
      <c r="AR12" s="8" t="n">
        <v>4</v>
      </c>
      <c r="AS12" s="8" t="n">
        <v>3</v>
      </c>
      <c r="AT12" s="8" t="n">
        <v>2</v>
      </c>
      <c r="AU12" s="8" t="n">
        <v>2</v>
      </c>
      <c r="AV12" s="8" t="n">
        <v>2</v>
      </c>
      <c r="AW12" s="8" t="n">
        <v>0</v>
      </c>
      <c r="AX12" s="8" t="n">
        <v>1</v>
      </c>
      <c r="AY12" s="8" t="n">
        <v>3</v>
      </c>
      <c r="AZ12" s="8" t="n">
        <v>1</v>
      </c>
      <c r="BA12" s="8" t="n">
        <v>2</v>
      </c>
      <c r="BB12" s="8" t="n">
        <v>3</v>
      </c>
      <c r="BC12" s="8" t="n">
        <v>3</v>
      </c>
      <c r="BD12" s="8" t="n">
        <v>0</v>
      </c>
      <c r="BE12" s="8" t="n">
        <v>0</v>
      </c>
      <c r="BF12" s="8" t="n">
        <v>1</v>
      </c>
      <c r="BG12" s="8" t="n">
        <v>0</v>
      </c>
      <c r="BH12" s="8" t="n">
        <v>1</v>
      </c>
      <c r="BI12" s="8" t="n">
        <v>2</v>
      </c>
      <c r="BJ12" s="9" t="n">
        <v>24</v>
      </c>
      <c r="BK12" s="9" t="n">
        <v>42</v>
      </c>
      <c r="BL12" s="9" t="n">
        <v>1</v>
      </c>
      <c r="BM12" s="9" t="n">
        <v>4</v>
      </c>
      <c r="BN12" s="10"/>
      <c r="BO12" s="10"/>
      <c r="BP12" s="10" t="str">
        <f aca="false">IF(AND(ISNUMBER(BN12),ISNUMBER(BO12)),BN12+BO12,"")</f>
        <v/>
      </c>
      <c r="BQ12" s="10"/>
      <c r="BR12" s="10"/>
      <c r="BS12" s="10"/>
    </row>
    <row r="13" customFormat="false" ht="15" hidden="false" customHeight="false" outlineLevel="0" collapsed="false">
      <c r="A13" s="8" t="s">
        <v>88</v>
      </c>
      <c r="B13" s="8" t="s">
        <v>72</v>
      </c>
      <c r="C13" s="8" t="n">
        <v>1</v>
      </c>
      <c r="D13" s="9" t="n">
        <v>69</v>
      </c>
      <c r="E13" s="9" t="n">
        <v>33</v>
      </c>
      <c r="F13" s="8" t="s">
        <v>76</v>
      </c>
      <c r="G13" s="8" t="s">
        <v>77</v>
      </c>
      <c r="H13" s="10" t="n">
        <v>0.1</v>
      </c>
      <c r="I13" s="10" t="n">
        <v>0.052</v>
      </c>
      <c r="J13" s="10" t="n">
        <v>0.15</v>
      </c>
      <c r="K13" s="8" t="n">
        <v>1</v>
      </c>
      <c r="L13" s="8" t="n">
        <v>5</v>
      </c>
      <c r="M13" s="10" t="n">
        <v>0.003</v>
      </c>
      <c r="N13" s="8" t="n">
        <v>0</v>
      </c>
      <c r="O13" s="9" t="n">
        <v>7</v>
      </c>
      <c r="P13" s="10" t="n">
        <f aca="false">IF(AND(ISNUMBER(O13),ISNUMBER(D13),D13&gt;0),O13/D13,"")</f>
        <v>0.101449275362319</v>
      </c>
      <c r="Q13" s="9" t="n">
        <v>6</v>
      </c>
      <c r="R13" s="9" t="n">
        <v>6</v>
      </c>
      <c r="S13" s="9" t="n">
        <v>91</v>
      </c>
      <c r="T13" s="11" t="n">
        <f aca="false">IF(AND(ISNUMBER(S13),ISNUMBER(D13),D13&gt;0),S13/D13,"")</f>
        <v>1.31884057971015</v>
      </c>
      <c r="U13" s="10" t="n">
        <v>0.15</v>
      </c>
      <c r="V13" s="10" t="n">
        <v>0.15</v>
      </c>
      <c r="W13" s="10" t="n">
        <v>0.15</v>
      </c>
      <c r="X13" s="10" t="n">
        <v>0.1</v>
      </c>
      <c r="Y13" s="8" t="n">
        <v>0</v>
      </c>
      <c r="Z13" s="8" t="s">
        <v>77</v>
      </c>
      <c r="AA13" s="8" t="n">
        <v>0</v>
      </c>
      <c r="AB13" s="8" t="n">
        <v>0</v>
      </c>
      <c r="AC13" s="11" t="n">
        <f aca="false">IF(AND(ISNUMBER(AA13),ISNUMBER(D13),D13&gt;0),AA13/D13*100,"")</f>
        <v>0</v>
      </c>
      <c r="AD13" s="12"/>
      <c r="AE13" s="8" t="s">
        <v>74</v>
      </c>
      <c r="AF13" s="8" t="s">
        <v>74</v>
      </c>
      <c r="AG13" s="12" t="n">
        <v>250</v>
      </c>
      <c r="AH13" s="12" t="n">
        <v>270.43</v>
      </c>
      <c r="AI13" s="12" t="n">
        <v>334.14</v>
      </c>
      <c r="AJ13" s="12" t="n">
        <v>378.45</v>
      </c>
      <c r="AK13" s="8" t="n">
        <v>15</v>
      </c>
      <c r="AL13" s="10" t="n">
        <v>0.25</v>
      </c>
      <c r="AM13" s="8" t="s">
        <v>77</v>
      </c>
      <c r="AN13" s="12"/>
      <c r="AO13" s="8" t="s">
        <v>77</v>
      </c>
      <c r="AP13" s="8"/>
      <c r="AQ13" s="10"/>
      <c r="AR13" s="8" t="n">
        <v>5</v>
      </c>
      <c r="AS13" s="8" t="n">
        <v>4</v>
      </c>
      <c r="AT13" s="8" t="n">
        <v>3</v>
      </c>
      <c r="AU13" s="8" t="n">
        <v>5</v>
      </c>
      <c r="AV13" s="8" t="n">
        <v>2</v>
      </c>
      <c r="AW13" s="8" t="n">
        <v>1</v>
      </c>
      <c r="AX13" s="8" t="n">
        <v>1</v>
      </c>
      <c r="AY13" s="8" t="n">
        <v>2</v>
      </c>
      <c r="AZ13" s="8" t="n">
        <v>3</v>
      </c>
      <c r="BA13" s="8" t="n">
        <v>3</v>
      </c>
      <c r="BB13" s="8" t="n">
        <v>3</v>
      </c>
      <c r="BC13" s="8" t="n">
        <v>3</v>
      </c>
      <c r="BD13" s="8" t="n">
        <v>1</v>
      </c>
      <c r="BE13" s="8" t="n">
        <v>3</v>
      </c>
      <c r="BF13" s="8" t="n">
        <v>2</v>
      </c>
      <c r="BG13" s="8" t="n">
        <v>0</v>
      </c>
      <c r="BH13" s="8" t="n">
        <v>0</v>
      </c>
      <c r="BI13" s="8" t="n">
        <v>2</v>
      </c>
      <c r="BJ13" s="9" t="n">
        <v>8</v>
      </c>
      <c r="BK13" s="9" t="n">
        <v>0</v>
      </c>
      <c r="BL13" s="9" t="n">
        <v>0</v>
      </c>
      <c r="BM13" s="9" t="n">
        <v>1</v>
      </c>
      <c r="BN13" s="10" t="n">
        <v>0</v>
      </c>
      <c r="BO13" s="10" t="n">
        <v>0.7</v>
      </c>
      <c r="BP13" s="10" t="n">
        <f aca="false">IF(AND(ISNUMBER(BN13),ISNUMBER(BO13)),BN13+BO13,"")</f>
        <v>0.7</v>
      </c>
      <c r="BQ13" s="10" t="n">
        <v>0</v>
      </c>
      <c r="BR13" s="10" t="n">
        <v>0.2</v>
      </c>
      <c r="BS13" s="10" t="n">
        <v>0.1</v>
      </c>
    </row>
    <row r="14" customFormat="false" ht="15" hidden="false" customHeight="false" outlineLevel="0" collapsed="false">
      <c r="A14" s="8" t="s">
        <v>89</v>
      </c>
      <c r="B14" s="8" t="s">
        <v>72</v>
      </c>
      <c r="C14" s="8" t="n">
        <v>1</v>
      </c>
      <c r="D14" s="9" t="n">
        <v>676</v>
      </c>
      <c r="E14" s="9" t="n">
        <v>185</v>
      </c>
      <c r="F14" s="8" t="s">
        <v>81</v>
      </c>
      <c r="G14" s="8" t="s">
        <v>74</v>
      </c>
      <c r="H14" s="10" t="n">
        <v>0.5</v>
      </c>
      <c r="I14" s="10" t="n">
        <v>0.032</v>
      </c>
      <c r="J14" s="10" t="n">
        <v>0.004</v>
      </c>
      <c r="K14" s="8" t="n">
        <v>0</v>
      </c>
      <c r="L14" s="8" t="n">
        <v>30</v>
      </c>
      <c r="M14" s="10" t="n">
        <v>0.01</v>
      </c>
      <c r="N14" s="8" t="n">
        <v>0</v>
      </c>
      <c r="O14" s="9" t="n">
        <v>66</v>
      </c>
      <c r="P14" s="10" t="n">
        <f aca="false">IF(AND(ISNUMBER(O14),ISNUMBER(D14),D14&gt;0),O14/D14,"")</f>
        <v>0.0976331360946746</v>
      </c>
      <c r="Q14" s="9" t="n">
        <v>81</v>
      </c>
      <c r="R14" s="9" t="n">
        <v>68</v>
      </c>
      <c r="S14" s="9" t="n">
        <v>404</v>
      </c>
      <c r="T14" s="11" t="n">
        <f aca="false">IF(AND(ISNUMBER(S14),ISNUMBER(D14),D14&gt;0),S14/D14,"")</f>
        <v>0.597633136094675</v>
      </c>
      <c r="U14" s="10" t="n">
        <v>0.07</v>
      </c>
      <c r="V14" s="10" t="n">
        <v>0.055</v>
      </c>
      <c r="W14" s="10" t="n">
        <v>0.06</v>
      </c>
      <c r="X14" s="10" t="n">
        <v>0.1</v>
      </c>
      <c r="Y14" s="8" t="n">
        <v>0</v>
      </c>
      <c r="Z14" s="8" t="s">
        <v>74</v>
      </c>
      <c r="AA14" s="8" t="n">
        <v>12</v>
      </c>
      <c r="AB14" s="8" t="n">
        <v>0</v>
      </c>
      <c r="AC14" s="11" t="n">
        <f aca="false">IF(AND(ISNUMBER(AA14),ISNUMBER(D14),D14&gt;0),AA14/D14*100,"")</f>
        <v>1.77514792899408</v>
      </c>
      <c r="AD14" s="12" t="n">
        <v>1102</v>
      </c>
      <c r="AE14" s="8" t="s">
        <v>74</v>
      </c>
      <c r="AF14" s="8" t="s">
        <v>74</v>
      </c>
      <c r="AG14" s="12" t="n">
        <v>356.18</v>
      </c>
      <c r="AH14" s="12" t="n">
        <v>391.79</v>
      </c>
      <c r="AI14" s="12" t="n">
        <v>463.03</v>
      </c>
      <c r="AJ14" s="12" t="n">
        <v>569.88</v>
      </c>
      <c r="AK14" s="8" t="n">
        <v>16</v>
      </c>
      <c r="AL14" s="10" t="n">
        <v>0.25</v>
      </c>
      <c r="AM14" s="8" t="s">
        <v>77</v>
      </c>
      <c r="AN14" s="12"/>
      <c r="AO14" s="8" t="s">
        <v>74</v>
      </c>
      <c r="AP14" s="8" t="s">
        <v>74</v>
      </c>
      <c r="AQ14" s="10" t="n">
        <v>0.8</v>
      </c>
      <c r="AR14" s="8" t="n">
        <v>4</v>
      </c>
      <c r="AS14" s="8" t="n">
        <v>5</v>
      </c>
      <c r="AT14" s="8" t="n">
        <v>2</v>
      </c>
      <c r="AU14" s="8" t="n">
        <v>3</v>
      </c>
      <c r="AV14" s="8" t="n">
        <v>3</v>
      </c>
      <c r="AW14" s="8" t="n">
        <v>3</v>
      </c>
      <c r="AX14" s="8" t="n">
        <v>1</v>
      </c>
      <c r="AY14" s="8" t="n">
        <v>1</v>
      </c>
      <c r="AZ14" s="8" t="n">
        <v>2</v>
      </c>
      <c r="BA14" s="8" t="n">
        <v>2</v>
      </c>
      <c r="BB14" s="8" t="n">
        <v>3</v>
      </c>
      <c r="BC14" s="8" t="n">
        <v>3</v>
      </c>
      <c r="BD14" s="8" t="n">
        <v>0</v>
      </c>
      <c r="BE14" s="8" t="n">
        <v>0</v>
      </c>
      <c r="BF14" s="8" t="n">
        <v>0</v>
      </c>
      <c r="BG14" s="8" t="n">
        <v>0</v>
      </c>
      <c r="BH14" s="8" t="n">
        <v>2</v>
      </c>
      <c r="BI14" s="8" t="n">
        <v>3</v>
      </c>
      <c r="BJ14" s="9" t="n">
        <v>34</v>
      </c>
      <c r="BK14" s="9" t="n">
        <v>22</v>
      </c>
      <c r="BL14" s="9" t="n">
        <v>7</v>
      </c>
      <c r="BM14" s="9" t="n">
        <v>5</v>
      </c>
      <c r="BN14" s="10" t="n">
        <v>0.2</v>
      </c>
      <c r="BO14" s="10" t="n">
        <v>0.2</v>
      </c>
      <c r="BP14" s="10" t="n">
        <f aca="false">IF(AND(ISNUMBER(BN14),ISNUMBER(BO14)),BN14+BO14,"")</f>
        <v>0.4</v>
      </c>
      <c r="BQ14" s="10" t="n">
        <v>0.4</v>
      </c>
      <c r="BR14" s="10" t="n">
        <v>0.1</v>
      </c>
      <c r="BS14" s="10" t="n">
        <v>0.1</v>
      </c>
    </row>
    <row r="15" customFormat="false" ht="15" hidden="false" customHeight="false" outlineLevel="0" collapsed="false">
      <c r="A15" s="8" t="s">
        <v>90</v>
      </c>
      <c r="B15" s="8" t="s">
        <v>72</v>
      </c>
      <c r="C15" s="8" t="n">
        <v>1</v>
      </c>
      <c r="D15" s="9" t="n">
        <v>275</v>
      </c>
      <c r="E15" s="9" t="n">
        <v>146</v>
      </c>
      <c r="F15" s="8" t="s">
        <v>81</v>
      </c>
      <c r="G15" s="8" t="s">
        <v>74</v>
      </c>
      <c r="H15" s="10" t="n">
        <v>0</v>
      </c>
      <c r="I15" s="10" t="n">
        <v>0.049</v>
      </c>
      <c r="J15" s="10" t="n">
        <v>0.025</v>
      </c>
      <c r="K15" s="8" t="n">
        <v>0</v>
      </c>
      <c r="L15" s="8" t="n">
        <v>10</v>
      </c>
      <c r="M15" s="10" t="n">
        <v>0.01</v>
      </c>
      <c r="N15" s="8" t="n">
        <v>0</v>
      </c>
      <c r="O15" s="9" t="n">
        <v>51</v>
      </c>
      <c r="P15" s="10" t="n">
        <f aca="false">IF(AND(ISNUMBER(O15),ISNUMBER(D15),D15&gt;0),O15/D15,"")</f>
        <v>0.185454545454545</v>
      </c>
      <c r="Q15" s="9" t="n">
        <v>70</v>
      </c>
      <c r="R15" s="9" t="n">
        <v>69</v>
      </c>
      <c r="S15" s="9" t="n">
        <v>400</v>
      </c>
      <c r="T15" s="11" t="n">
        <f aca="false">IF(AND(ISNUMBER(S15),ISNUMBER(D15),D15&gt;0),S15/D15,"")</f>
        <v>1.45454545454545</v>
      </c>
      <c r="U15" s="10" t="n">
        <v>0.07</v>
      </c>
      <c r="V15" s="10" t="n">
        <v>0.12</v>
      </c>
      <c r="W15" s="10" t="n">
        <v>0.06</v>
      </c>
      <c r="X15" s="10" t="n">
        <v>0.13</v>
      </c>
      <c r="Y15" s="8" t="n">
        <v>0</v>
      </c>
      <c r="Z15" s="8" t="s">
        <v>74</v>
      </c>
      <c r="AA15" s="8" t="n">
        <v>15</v>
      </c>
      <c r="AB15" s="8" t="n">
        <v>0</v>
      </c>
      <c r="AC15" s="11" t="n">
        <f aca="false">IF(AND(ISNUMBER(AA15),ISNUMBER(D15),D15&gt;0),AA15/D15*100,"")</f>
        <v>5.45454545454545</v>
      </c>
      <c r="AD15" s="12" t="n">
        <v>2344</v>
      </c>
      <c r="AE15" s="8" t="s">
        <v>77</v>
      </c>
      <c r="AF15" s="8" t="s">
        <v>77</v>
      </c>
      <c r="AG15" s="12" t="n">
        <v>277</v>
      </c>
      <c r="AH15" s="12" t="n">
        <v>324</v>
      </c>
      <c r="AI15" s="12" t="n">
        <v>410</v>
      </c>
      <c r="AJ15" s="12" t="n">
        <v>442</v>
      </c>
      <c r="AK15" s="8" t="n">
        <v>21</v>
      </c>
      <c r="AL15" s="10" t="n">
        <v>0.45</v>
      </c>
      <c r="AM15" s="8" t="s">
        <v>74</v>
      </c>
      <c r="AN15" s="12" t="n">
        <v>41</v>
      </c>
      <c r="AO15" s="8" t="s">
        <v>74</v>
      </c>
      <c r="AP15" s="8" t="s">
        <v>74</v>
      </c>
      <c r="AQ15" s="10" t="n">
        <v>0.95</v>
      </c>
      <c r="AR15" s="8" t="n">
        <v>3</v>
      </c>
      <c r="AS15" s="8" t="n">
        <v>3</v>
      </c>
      <c r="AT15" s="8" t="n">
        <v>1</v>
      </c>
      <c r="AU15" s="8" t="n">
        <v>1</v>
      </c>
      <c r="AV15" s="8" t="n">
        <v>2</v>
      </c>
      <c r="AW15" s="8" t="n">
        <v>1</v>
      </c>
      <c r="AX15" s="8" t="n">
        <v>2</v>
      </c>
      <c r="AY15" s="8" t="n">
        <v>1</v>
      </c>
      <c r="AZ15" s="8" t="n">
        <v>1</v>
      </c>
      <c r="BA15" s="8" t="n">
        <v>1</v>
      </c>
      <c r="BB15" s="8" t="n">
        <v>2</v>
      </c>
      <c r="BC15" s="8" t="n">
        <v>3</v>
      </c>
      <c r="BD15" s="8" t="n">
        <v>0</v>
      </c>
      <c r="BE15" s="8" t="n">
        <v>0</v>
      </c>
      <c r="BF15" s="8" t="n">
        <v>1</v>
      </c>
      <c r="BG15" s="8" t="n">
        <v>1</v>
      </c>
      <c r="BH15" s="8" t="n">
        <v>2</v>
      </c>
      <c r="BI15" s="8" t="n">
        <v>4</v>
      </c>
      <c r="BJ15" s="9" t="n">
        <v>25</v>
      </c>
      <c r="BK15" s="9" t="n">
        <v>31</v>
      </c>
      <c r="BL15" s="9" t="n">
        <v>8</v>
      </c>
      <c r="BM15" s="9" t="n">
        <v>4</v>
      </c>
      <c r="BN15" s="10" t="n">
        <v>0</v>
      </c>
      <c r="BO15" s="10" t="n">
        <v>0.2</v>
      </c>
      <c r="BP15" s="10" t="n">
        <f aca="false">IF(AND(ISNUMBER(BN15),ISNUMBER(BO15)),BN15+BO15,"")</f>
        <v>0.2</v>
      </c>
      <c r="BQ15" s="10" t="n">
        <v>0.5</v>
      </c>
      <c r="BR15" s="10" t="n">
        <v>0.3</v>
      </c>
      <c r="BS15" s="10" t="n">
        <v>0</v>
      </c>
    </row>
    <row r="16" customFormat="false" ht="15" hidden="false" customHeight="false" outlineLevel="0" collapsed="false">
      <c r="A16" s="8" t="s">
        <v>91</v>
      </c>
      <c r="B16" s="8" t="s">
        <v>72</v>
      </c>
      <c r="C16" s="8" t="n">
        <v>1</v>
      </c>
      <c r="D16" s="9" t="n">
        <v>2553</v>
      </c>
      <c r="E16" s="9" t="n">
        <v>2163</v>
      </c>
      <c r="F16" s="8" t="s">
        <v>92</v>
      </c>
      <c r="G16" s="8" t="s">
        <v>74</v>
      </c>
      <c r="H16" s="10" t="n">
        <v>0.1</v>
      </c>
      <c r="I16" s="10" t="n">
        <v>0.059</v>
      </c>
      <c r="J16" s="10" t="n">
        <v>0.15</v>
      </c>
      <c r="K16" s="8" t="n">
        <v>1</v>
      </c>
      <c r="L16" s="8" t="n">
        <v>5</v>
      </c>
      <c r="M16" s="10" t="n">
        <v>0.006</v>
      </c>
      <c r="N16" s="8" t="n">
        <v>0</v>
      </c>
      <c r="O16" s="9" t="n">
        <v>622</v>
      </c>
      <c r="P16" s="10" t="n">
        <f aca="false">IF(AND(ISNUMBER(O16),ISNUMBER(D16),D16&gt;0),O16/D16,"")</f>
        <v>0.243634939287113</v>
      </c>
      <c r="Q16" s="9" t="n">
        <v>389</v>
      </c>
      <c r="R16" s="9" t="n">
        <v>350</v>
      </c>
      <c r="S16" s="9" t="n">
        <v>750</v>
      </c>
      <c r="T16" s="11" t="n">
        <f aca="false">IF(AND(ISNUMBER(S16),ISNUMBER(D16),D16&gt;0),S16/D16,"")</f>
        <v>0.293772032902468</v>
      </c>
      <c r="U16" s="10" t="n">
        <v>0.082</v>
      </c>
      <c r="V16" s="10" t="n">
        <v>0.045</v>
      </c>
      <c r="W16" s="10" t="n">
        <v>0.13</v>
      </c>
      <c r="X16" s="10" t="n">
        <v>0.04</v>
      </c>
      <c r="Y16" s="8" t="n">
        <v>0</v>
      </c>
      <c r="Z16" s="8" t="s">
        <v>74</v>
      </c>
      <c r="AA16" s="8" t="n">
        <v>8</v>
      </c>
      <c r="AB16" s="8" t="n">
        <v>0</v>
      </c>
      <c r="AC16" s="11" t="n">
        <f aca="false">IF(AND(ISNUMBER(AA16),ISNUMBER(D16),D16&gt;0),AA16/D16*100,"")</f>
        <v>0.313356835095966</v>
      </c>
      <c r="AD16" s="12" t="n">
        <v>721</v>
      </c>
      <c r="AE16" s="8" t="s">
        <v>77</v>
      </c>
      <c r="AF16" s="8" t="s">
        <v>74</v>
      </c>
      <c r="AG16" s="12" t="n">
        <v>308.43</v>
      </c>
      <c r="AH16" s="12" t="n">
        <v>347.06</v>
      </c>
      <c r="AI16" s="12" t="n">
        <v>404.14</v>
      </c>
      <c r="AJ16" s="12" t="n">
        <v>742</v>
      </c>
      <c r="AK16" s="8" t="n">
        <v>30</v>
      </c>
      <c r="AL16" s="10" t="n">
        <v>0.6</v>
      </c>
      <c r="AM16" s="8" t="s">
        <v>74</v>
      </c>
      <c r="AN16" s="12" t="n">
        <v>25</v>
      </c>
      <c r="AO16" s="8" t="s">
        <v>74</v>
      </c>
      <c r="AP16" s="8" t="s">
        <v>74</v>
      </c>
      <c r="AQ16" s="10" t="n">
        <v>1</v>
      </c>
      <c r="AR16" s="8" t="n">
        <v>4</v>
      </c>
      <c r="AS16" s="8" t="n">
        <v>2</v>
      </c>
      <c r="AT16" s="8" t="n">
        <v>2</v>
      </c>
      <c r="AU16" s="8" t="n">
        <v>3</v>
      </c>
      <c r="AV16" s="8" t="n">
        <v>3</v>
      </c>
      <c r="AW16" s="8" t="n">
        <v>1</v>
      </c>
      <c r="AX16" s="8" t="n">
        <v>2</v>
      </c>
      <c r="AY16" s="8" t="n">
        <v>2</v>
      </c>
      <c r="AZ16" s="8" t="n">
        <v>1</v>
      </c>
      <c r="BA16" s="8" t="n">
        <v>1</v>
      </c>
      <c r="BB16" s="8" t="n">
        <v>2</v>
      </c>
      <c r="BC16" s="8" t="n">
        <v>1</v>
      </c>
      <c r="BD16" s="8" t="n">
        <v>1</v>
      </c>
      <c r="BE16" s="8" t="n">
        <v>1</v>
      </c>
      <c r="BF16" s="8" t="n">
        <v>1</v>
      </c>
      <c r="BG16" s="8" t="n">
        <v>0</v>
      </c>
      <c r="BH16" s="8" t="n">
        <v>2</v>
      </c>
      <c r="BI16" s="8" t="n">
        <v>1</v>
      </c>
      <c r="BJ16" s="9" t="n">
        <v>257</v>
      </c>
      <c r="BK16" s="9" t="n">
        <v>399</v>
      </c>
      <c r="BL16" s="9" t="n">
        <v>16</v>
      </c>
      <c r="BM16" s="9" t="n">
        <v>56</v>
      </c>
      <c r="BN16" s="10" t="n">
        <v>0.2</v>
      </c>
      <c r="BO16" s="10" t="n">
        <v>0.2</v>
      </c>
      <c r="BP16" s="10" t="n">
        <f aca="false">IF(AND(ISNUMBER(BN16),ISNUMBER(BO16)),BN16+BO16,"")</f>
        <v>0.4</v>
      </c>
      <c r="BQ16" s="10" t="n">
        <v>0.1</v>
      </c>
      <c r="BR16" s="10" t="n">
        <v>0.1</v>
      </c>
      <c r="BS16" s="10" t="n">
        <v>0.2</v>
      </c>
    </row>
    <row r="17" customFormat="false" ht="15" hidden="false" customHeight="false" outlineLevel="0" collapsed="false">
      <c r="A17" s="8" t="s">
        <v>93</v>
      </c>
      <c r="B17" s="8" t="s">
        <v>72</v>
      </c>
      <c r="C17" s="8" t="n">
        <v>1</v>
      </c>
      <c r="D17" s="9" t="n">
        <v>95</v>
      </c>
      <c r="E17" s="9" t="n">
        <v>86</v>
      </c>
      <c r="F17" s="8" t="s">
        <v>94</v>
      </c>
      <c r="G17" s="8" t="s">
        <v>74</v>
      </c>
      <c r="H17" s="10" t="n">
        <v>0.9</v>
      </c>
      <c r="I17" s="10" t="n">
        <v>0.15</v>
      </c>
      <c r="J17" s="10" t="n">
        <v>0.01</v>
      </c>
      <c r="K17" s="8" t="n">
        <v>0</v>
      </c>
      <c r="L17" s="8" t="n">
        <v>50</v>
      </c>
      <c r="M17" s="10" t="n">
        <v>0.01</v>
      </c>
      <c r="N17" s="8" t="n">
        <v>0</v>
      </c>
      <c r="O17" s="9" t="n">
        <v>23</v>
      </c>
      <c r="P17" s="10" t="n">
        <f aca="false">IF(AND(ISNUMBER(O17),ISNUMBER(D17),D17&gt;0),O17/D17,"")</f>
        <v>0.242105263157895</v>
      </c>
      <c r="Q17" s="9"/>
      <c r="R17" s="9" t="n">
        <v>10</v>
      </c>
      <c r="S17" s="9" t="n">
        <v>71</v>
      </c>
      <c r="T17" s="11" t="n">
        <f aca="false">IF(AND(ISNUMBER(S17),ISNUMBER(D17),D17&gt;0),S17/D17,"")</f>
        <v>0.747368421052632</v>
      </c>
      <c r="U17" s="10" t="n">
        <v>0.1</v>
      </c>
      <c r="V17" s="10" t="n">
        <v>0.09</v>
      </c>
      <c r="W17" s="10" t="n">
        <v>0.065</v>
      </c>
      <c r="X17" s="10" t="n">
        <v>0.1</v>
      </c>
      <c r="Y17" s="8" t="n">
        <v>0</v>
      </c>
      <c r="Z17" s="8" t="s">
        <v>74</v>
      </c>
      <c r="AA17" s="8" t="n">
        <v>16</v>
      </c>
      <c r="AB17" s="8" t="n">
        <v>0</v>
      </c>
      <c r="AC17" s="11" t="n">
        <f aca="false">IF(AND(ISNUMBER(AA17),ISNUMBER(D17),D17&gt;0),AA17/D17*100,"")</f>
        <v>16.8421052631579</v>
      </c>
      <c r="AD17" s="12" t="n">
        <v>2824.5</v>
      </c>
      <c r="AE17" s="8" t="s">
        <v>77</v>
      </c>
      <c r="AF17" s="8" t="s">
        <v>74</v>
      </c>
      <c r="AG17" s="12" t="n">
        <v>273.82</v>
      </c>
      <c r="AH17" s="12" t="n">
        <v>328.9</v>
      </c>
      <c r="AI17" s="12" t="n">
        <v>378.07</v>
      </c>
      <c r="AJ17" s="12" t="n">
        <v>435.05</v>
      </c>
      <c r="AK17" s="8" t="n">
        <v>15</v>
      </c>
      <c r="AL17" s="10" t="n">
        <v>0.25</v>
      </c>
      <c r="AM17" s="8" t="s">
        <v>74</v>
      </c>
      <c r="AN17" s="12" t="n">
        <v>65</v>
      </c>
      <c r="AO17" s="8" t="s">
        <v>77</v>
      </c>
      <c r="AP17" s="8" t="s">
        <v>74</v>
      </c>
      <c r="AQ17" s="10" t="n">
        <v>0.85</v>
      </c>
      <c r="AR17" s="8" t="n">
        <v>4</v>
      </c>
      <c r="AS17" s="8" t="n">
        <v>4</v>
      </c>
      <c r="AT17" s="8" t="n">
        <v>1</v>
      </c>
      <c r="AU17" s="8" t="n">
        <v>1</v>
      </c>
      <c r="AV17" s="8" t="n">
        <v>2</v>
      </c>
      <c r="AW17" s="8" t="n">
        <v>0</v>
      </c>
      <c r="AX17" s="8" t="n">
        <v>2</v>
      </c>
      <c r="AY17" s="8" t="n">
        <v>1</v>
      </c>
      <c r="AZ17" s="8" t="n">
        <v>1</v>
      </c>
      <c r="BA17" s="8" t="n">
        <v>1</v>
      </c>
      <c r="BB17" s="8" t="n">
        <v>2</v>
      </c>
      <c r="BC17" s="8" t="n">
        <v>1</v>
      </c>
      <c r="BD17" s="8" t="n">
        <v>1</v>
      </c>
      <c r="BE17" s="8" t="n">
        <v>2</v>
      </c>
      <c r="BF17" s="8" t="n">
        <v>0</v>
      </c>
      <c r="BG17" s="8" t="n">
        <v>0</v>
      </c>
      <c r="BH17" s="8" t="n">
        <v>1</v>
      </c>
      <c r="BI17" s="8" t="n">
        <v>0</v>
      </c>
      <c r="BJ17" s="9" t="n">
        <v>16</v>
      </c>
      <c r="BK17" s="9" t="n">
        <v>7</v>
      </c>
      <c r="BL17" s="9"/>
      <c r="BM17" s="9" t="n">
        <v>3</v>
      </c>
      <c r="BN17" s="10" t="n">
        <v>0.1</v>
      </c>
      <c r="BO17" s="10" t="n">
        <v>0.2</v>
      </c>
      <c r="BP17" s="10" t="n">
        <f aca="false">IF(AND(ISNUMBER(BN17),ISNUMBER(BO17)),BN17+BO17,"")</f>
        <v>0.3</v>
      </c>
      <c r="BQ17" s="10" t="n">
        <v>0.2</v>
      </c>
      <c r="BR17" s="10" t="n">
        <v>0.5</v>
      </c>
      <c r="BS17" s="10" t="n">
        <v>0</v>
      </c>
    </row>
    <row r="18" customFormat="false" ht="15" hidden="false" customHeight="false" outlineLevel="0" collapsed="false">
      <c r="A18" s="8" t="s">
        <v>95</v>
      </c>
      <c r="B18" s="8" t="s">
        <v>72</v>
      </c>
      <c r="C18" s="8" t="n">
        <v>1</v>
      </c>
      <c r="D18" s="9" t="n">
        <v>19</v>
      </c>
      <c r="E18" s="9" t="n">
        <v>17</v>
      </c>
      <c r="F18" s="8" t="s">
        <v>81</v>
      </c>
      <c r="G18" s="8" t="s">
        <v>77</v>
      </c>
      <c r="H18" s="10" t="n">
        <v>0.1</v>
      </c>
      <c r="I18" s="10" t="n">
        <v>0.001</v>
      </c>
      <c r="J18" s="10" t="n">
        <v>0.001</v>
      </c>
      <c r="K18" s="8" t="n">
        <v>0</v>
      </c>
      <c r="L18" s="8"/>
      <c r="M18" s="10" t="n">
        <v>0.001</v>
      </c>
      <c r="N18" s="8" t="n">
        <v>0</v>
      </c>
      <c r="O18" s="9" t="n">
        <v>1</v>
      </c>
      <c r="P18" s="10" t="n">
        <f aca="false">IF(AND(ISNUMBER(O18),ISNUMBER(D18),D18&gt;0),O18/D18,"")</f>
        <v>0.0526315789473684</v>
      </c>
      <c r="Q18" s="9" t="n">
        <v>2</v>
      </c>
      <c r="R18" s="9" t="n">
        <v>2</v>
      </c>
      <c r="S18" s="9" t="n">
        <v>8</v>
      </c>
      <c r="T18" s="11" t="n">
        <f aca="false">IF(AND(ISNUMBER(S18),ISNUMBER(D18),D18&gt;0),S18/D18,"")</f>
        <v>0.421052631578947</v>
      </c>
      <c r="U18" s="10" t="n">
        <v>0.08</v>
      </c>
      <c r="V18" s="10" t="n">
        <v>0.1</v>
      </c>
      <c r="W18" s="10"/>
      <c r="X18" s="10" t="n">
        <v>0.1</v>
      </c>
      <c r="Y18" s="8" t="n">
        <v>0</v>
      </c>
      <c r="Z18" s="8" t="s">
        <v>77</v>
      </c>
      <c r="AA18" s="8" t="n">
        <v>0</v>
      </c>
      <c r="AB18" s="8" t="n">
        <v>0</v>
      </c>
      <c r="AC18" s="11" t="n">
        <f aca="false">IF(AND(ISNUMBER(AA18),ISNUMBER(D18),D18&gt;0),AA18/D18*100,"")</f>
        <v>0</v>
      </c>
      <c r="AD18" s="12"/>
      <c r="AE18" s="8" t="s">
        <v>74</v>
      </c>
      <c r="AF18" s="8" t="s">
        <v>77</v>
      </c>
      <c r="AG18" s="12" t="n">
        <v>258</v>
      </c>
      <c r="AH18" s="12" t="n">
        <v>285</v>
      </c>
      <c r="AI18" s="12" t="n">
        <v>350</v>
      </c>
      <c r="AJ18" s="12" t="n">
        <v>614.28</v>
      </c>
      <c r="AK18" s="8" t="n">
        <v>15</v>
      </c>
      <c r="AL18" s="10" t="n">
        <v>0.25</v>
      </c>
      <c r="AM18" s="8" t="s">
        <v>77</v>
      </c>
      <c r="AN18" s="12"/>
      <c r="AO18" s="8" t="s">
        <v>77</v>
      </c>
      <c r="AP18" s="8"/>
      <c r="AQ18" s="10"/>
      <c r="AR18" s="8" t="n">
        <v>3</v>
      </c>
      <c r="AS18" s="8" t="n">
        <v>2</v>
      </c>
      <c r="AT18" s="8" t="n">
        <v>0</v>
      </c>
      <c r="AU18" s="8" t="n">
        <v>1</v>
      </c>
      <c r="AV18" s="8" t="n">
        <v>0</v>
      </c>
      <c r="AW18" s="8" t="n">
        <v>0</v>
      </c>
      <c r="AX18" s="8" t="n">
        <v>0</v>
      </c>
      <c r="AY18" s="8" t="n">
        <v>1</v>
      </c>
      <c r="AZ18" s="8" t="n">
        <v>0</v>
      </c>
      <c r="BA18" s="8" t="n">
        <v>0</v>
      </c>
      <c r="BB18" s="8" t="n">
        <v>0</v>
      </c>
      <c r="BC18" s="8" t="n">
        <v>0</v>
      </c>
      <c r="BD18" s="8" t="n">
        <v>0</v>
      </c>
      <c r="BE18" s="8" t="n">
        <v>1</v>
      </c>
      <c r="BF18" s="8" t="n">
        <v>0</v>
      </c>
      <c r="BG18" s="8" t="n">
        <v>0</v>
      </c>
      <c r="BH18" s="8" t="n">
        <v>1</v>
      </c>
      <c r="BI18" s="8" t="n">
        <v>0</v>
      </c>
      <c r="BJ18" s="9" t="n">
        <v>2</v>
      </c>
      <c r="BK18" s="9" t="n">
        <v>0</v>
      </c>
      <c r="BL18" s="9"/>
      <c r="BM18" s="9"/>
      <c r="BN18" s="10" t="n">
        <v>0</v>
      </c>
      <c r="BO18" s="10" t="n">
        <v>0.3</v>
      </c>
      <c r="BP18" s="10" t="n">
        <f aca="false">IF(AND(ISNUMBER(BN18),ISNUMBER(BO18)),BN18+BO18,"")</f>
        <v>0.3</v>
      </c>
      <c r="BQ18" s="10" t="n">
        <v>0.7</v>
      </c>
      <c r="BR18" s="10" t="n">
        <v>0</v>
      </c>
      <c r="BS18" s="10" t="n">
        <v>0</v>
      </c>
    </row>
    <row r="19" customFormat="false" ht="15" hidden="false" customHeight="false" outlineLevel="0" collapsed="false">
      <c r="A19" s="8" t="s">
        <v>96</v>
      </c>
      <c r="B19" s="8" t="s">
        <v>72</v>
      </c>
      <c r="C19" s="8" t="n">
        <v>1</v>
      </c>
      <c r="D19" s="9" t="n">
        <v>636</v>
      </c>
      <c r="E19" s="9" t="n">
        <v>122</v>
      </c>
      <c r="F19" s="8" t="s">
        <v>76</v>
      </c>
      <c r="G19" s="8" t="s">
        <v>74</v>
      </c>
      <c r="H19" s="10" t="n">
        <v>0.2</v>
      </c>
      <c r="I19" s="10" t="n">
        <v>0.085</v>
      </c>
      <c r="J19" s="10" t="n">
        <v>0.015</v>
      </c>
      <c r="K19" s="8" t="n">
        <v>0</v>
      </c>
      <c r="L19" s="8" t="n">
        <v>7</v>
      </c>
      <c r="M19" s="10" t="n">
        <v>0.018</v>
      </c>
      <c r="N19" s="8" t="n">
        <v>0</v>
      </c>
      <c r="O19" s="9" t="n">
        <v>202</v>
      </c>
      <c r="P19" s="10" t="n">
        <f aca="false">IF(AND(ISNUMBER(O19),ISNUMBER(D19),D19&gt;0),O19/D19,"")</f>
        <v>0.317610062893082</v>
      </c>
      <c r="Q19" s="9" t="n">
        <v>202</v>
      </c>
      <c r="R19" s="9" t="n">
        <v>194</v>
      </c>
      <c r="S19" s="9" t="n">
        <v>427</v>
      </c>
      <c r="T19" s="11" t="n">
        <f aca="false">IF(AND(ISNUMBER(S19),ISNUMBER(D19),D19&gt;0),S19/D19,"")</f>
        <v>0.671383647798742</v>
      </c>
      <c r="U19" s="10"/>
      <c r="V19" s="10" t="n">
        <v>0.1</v>
      </c>
      <c r="W19" s="10" t="n">
        <v>0.05</v>
      </c>
      <c r="X19" s="10" t="n">
        <v>0.01</v>
      </c>
      <c r="Y19" s="8" t="n">
        <v>0</v>
      </c>
      <c r="Z19" s="8" t="s">
        <v>74</v>
      </c>
      <c r="AA19" s="8" t="n">
        <v>17</v>
      </c>
      <c r="AB19" s="8" t="n">
        <v>0</v>
      </c>
      <c r="AC19" s="11" t="n">
        <f aca="false">IF(AND(ISNUMBER(AA19),ISNUMBER(D19),D19&gt;0),AA19/D19*100,"")</f>
        <v>2.67295597484277</v>
      </c>
      <c r="AD19" s="12" t="n">
        <v>450</v>
      </c>
      <c r="AE19" s="8" t="s">
        <v>74</v>
      </c>
      <c r="AF19" s="8" t="s">
        <v>77</v>
      </c>
      <c r="AG19" s="12" t="n">
        <v>340.75</v>
      </c>
      <c r="AH19" s="12" t="n">
        <v>444.86</v>
      </c>
      <c r="AI19" s="12" t="n">
        <v>619.49</v>
      </c>
      <c r="AJ19" s="12" t="n">
        <v>684.19</v>
      </c>
      <c r="AK19" s="8" t="n">
        <v>19</v>
      </c>
      <c r="AL19" s="10" t="n">
        <v>0.55</v>
      </c>
      <c r="AM19" s="8" t="s">
        <v>74</v>
      </c>
      <c r="AN19" s="12" t="n">
        <v>50</v>
      </c>
      <c r="AO19" s="8" t="s">
        <v>77</v>
      </c>
      <c r="AP19" s="8" t="s">
        <v>74</v>
      </c>
      <c r="AQ19" s="10" t="n">
        <v>0.9</v>
      </c>
      <c r="AR19" s="8" t="n">
        <v>3</v>
      </c>
      <c r="AS19" s="8" t="n">
        <v>2</v>
      </c>
      <c r="AT19" s="8" t="n">
        <v>1</v>
      </c>
      <c r="AU19" s="8" t="n">
        <v>3</v>
      </c>
      <c r="AV19" s="8" t="n">
        <v>0</v>
      </c>
      <c r="AW19" s="8" t="n">
        <v>1</v>
      </c>
      <c r="AX19" s="8" t="n">
        <v>0</v>
      </c>
      <c r="AY19" s="8" t="n">
        <v>0</v>
      </c>
      <c r="AZ19" s="8" t="n">
        <v>2</v>
      </c>
      <c r="BA19" s="8" t="n">
        <v>0</v>
      </c>
      <c r="BB19" s="8" t="n">
        <v>2</v>
      </c>
      <c r="BC19" s="8" t="n">
        <v>3</v>
      </c>
      <c r="BD19" s="8" t="n">
        <v>2</v>
      </c>
      <c r="BE19" s="8" t="n">
        <v>1</v>
      </c>
      <c r="BF19" s="8" t="n">
        <v>1</v>
      </c>
      <c r="BG19" s="8" t="n">
        <v>0</v>
      </c>
      <c r="BH19" s="8" t="n">
        <v>3</v>
      </c>
      <c r="BI19" s="8" t="n">
        <v>3</v>
      </c>
      <c r="BJ19" s="9" t="n">
        <v>118</v>
      </c>
      <c r="BK19" s="9" t="n">
        <v>30</v>
      </c>
      <c r="BL19" s="9" t="n">
        <v>25</v>
      </c>
      <c r="BM19" s="9" t="n">
        <v>11</v>
      </c>
      <c r="BN19" s="10" t="n">
        <v>0.6</v>
      </c>
      <c r="BO19" s="10" t="n">
        <v>0.2</v>
      </c>
      <c r="BP19" s="10" t="n">
        <f aca="false">IF(AND(ISNUMBER(BN19),ISNUMBER(BO19)),BN19+BO19,"")</f>
        <v>0.8</v>
      </c>
      <c r="BQ19" s="10" t="n">
        <v>0.1</v>
      </c>
      <c r="BR19" s="10" t="n">
        <v>0.1</v>
      </c>
      <c r="BS19" s="10" t="n">
        <v>0</v>
      </c>
    </row>
    <row r="20" customFormat="false" ht="15" hidden="false" customHeight="false" outlineLevel="0" collapsed="false">
      <c r="A20" s="8" t="s">
        <v>97</v>
      </c>
      <c r="B20" s="8" t="s">
        <v>72</v>
      </c>
      <c r="C20" s="8" t="n">
        <v>1</v>
      </c>
      <c r="D20" s="9" t="n">
        <v>563</v>
      </c>
      <c r="E20" s="9" t="n">
        <v>447</v>
      </c>
      <c r="F20" s="8" t="s">
        <v>76</v>
      </c>
      <c r="G20" s="8" t="s">
        <v>74</v>
      </c>
      <c r="H20" s="10" t="n">
        <v>0</v>
      </c>
      <c r="I20" s="10" t="n">
        <v>0.007</v>
      </c>
      <c r="J20" s="10" t="n">
        <v>0.001</v>
      </c>
      <c r="K20" s="8" t="n">
        <v>0</v>
      </c>
      <c r="L20" s="8" t="n">
        <v>20</v>
      </c>
      <c r="M20" s="10"/>
      <c r="N20" s="8" t="n">
        <v>0</v>
      </c>
      <c r="O20" s="9" t="n">
        <v>25</v>
      </c>
      <c r="P20" s="10" t="n">
        <f aca="false">IF(AND(ISNUMBER(O20),ISNUMBER(D20),D20&gt;0),O20/D20,"")</f>
        <v>0.044404973357016</v>
      </c>
      <c r="Q20" s="9" t="n">
        <v>63</v>
      </c>
      <c r="R20" s="9" t="n">
        <v>29</v>
      </c>
      <c r="S20" s="9" t="n">
        <v>215</v>
      </c>
      <c r="T20" s="11" t="n">
        <f aca="false">IF(AND(ISNUMBER(S20),ISNUMBER(D20),D20&gt;0),S20/D20,"")</f>
        <v>0.381882770870337</v>
      </c>
      <c r="U20" s="10" t="n">
        <v>0.05</v>
      </c>
      <c r="V20" s="10" t="n">
        <v>0.105</v>
      </c>
      <c r="W20" s="10" t="n">
        <v>0.13</v>
      </c>
      <c r="X20" s="10"/>
      <c r="Y20" s="8" t="n">
        <v>0</v>
      </c>
      <c r="Z20" s="8" t="s">
        <v>77</v>
      </c>
      <c r="AA20" s="8" t="n">
        <v>0</v>
      </c>
      <c r="AB20" s="8" t="n">
        <v>0</v>
      </c>
      <c r="AC20" s="11" t="n">
        <f aca="false">IF(AND(ISNUMBER(AA20),ISNUMBER(D20),D20&gt;0),AA20/D20*100,"")</f>
        <v>0</v>
      </c>
      <c r="AD20" s="12"/>
      <c r="AE20" s="8" t="s">
        <v>77</v>
      </c>
      <c r="AF20" s="8" t="s">
        <v>77</v>
      </c>
      <c r="AG20" s="12" t="n">
        <v>449.17</v>
      </c>
      <c r="AH20" s="12" t="n">
        <v>544.47</v>
      </c>
      <c r="AI20" s="12" t="n">
        <v>707.79</v>
      </c>
      <c r="AJ20" s="12" t="n">
        <v>884.7</v>
      </c>
      <c r="AK20" s="8" t="n">
        <v>25</v>
      </c>
      <c r="AL20" s="10" t="n">
        <v>0.7</v>
      </c>
      <c r="AM20" s="8" t="s">
        <v>74</v>
      </c>
      <c r="AN20" s="12" t="n">
        <v>47</v>
      </c>
      <c r="AO20" s="8" t="s">
        <v>77</v>
      </c>
      <c r="AP20" s="8" t="s">
        <v>74</v>
      </c>
      <c r="AQ20" s="10"/>
      <c r="AR20" s="8" t="n">
        <v>4</v>
      </c>
      <c r="AS20" s="8" t="n">
        <v>1</v>
      </c>
      <c r="AT20" s="8" t="n">
        <v>0</v>
      </c>
      <c r="AU20" s="8" t="n">
        <v>0</v>
      </c>
      <c r="AV20" s="8" t="n">
        <v>0</v>
      </c>
      <c r="AW20" s="8" t="n">
        <v>0</v>
      </c>
      <c r="AX20" s="8" t="n">
        <v>1</v>
      </c>
      <c r="AY20" s="8" t="n">
        <v>1</v>
      </c>
      <c r="AZ20" s="8" t="n">
        <v>2</v>
      </c>
      <c r="BA20" s="8" t="n">
        <v>1</v>
      </c>
      <c r="BB20" s="8" t="n">
        <v>0</v>
      </c>
      <c r="BC20" s="8" t="n">
        <v>0</v>
      </c>
      <c r="BD20" s="8" t="n">
        <v>0</v>
      </c>
      <c r="BE20" s="8" t="n">
        <v>0</v>
      </c>
      <c r="BF20" s="8" t="n">
        <v>0</v>
      </c>
      <c r="BG20" s="8" t="n">
        <v>0</v>
      </c>
      <c r="BH20" s="8" t="n">
        <v>0</v>
      </c>
      <c r="BI20" s="8" t="n">
        <v>2</v>
      </c>
      <c r="BJ20" s="9" t="n">
        <v>19</v>
      </c>
      <c r="BK20" s="9" t="n">
        <v>0</v>
      </c>
      <c r="BL20" s="9" t="n">
        <v>0</v>
      </c>
      <c r="BM20" s="9" t="n">
        <v>6</v>
      </c>
      <c r="BN20" s="10" t="n">
        <v>0</v>
      </c>
      <c r="BO20" s="10" t="n">
        <v>0</v>
      </c>
      <c r="BP20" s="10" t="n">
        <f aca="false">IF(AND(ISNUMBER(BN20),ISNUMBER(BO20)),BN20+BO20,"")</f>
        <v>0</v>
      </c>
      <c r="BQ20" s="10" t="n">
        <v>0.5</v>
      </c>
      <c r="BR20" s="10" t="n">
        <v>0.3</v>
      </c>
      <c r="BS20" s="10" t="n">
        <v>0.2</v>
      </c>
    </row>
    <row r="21" customFormat="false" ht="15" hidden="false" customHeight="false" outlineLevel="0" collapsed="false">
      <c r="A21" s="8" t="s">
        <v>98</v>
      </c>
      <c r="B21" s="8" t="s">
        <v>72</v>
      </c>
      <c r="C21" s="8" t="n">
        <v>1</v>
      </c>
      <c r="D21" s="9" t="n">
        <v>3132</v>
      </c>
      <c r="E21" s="9" t="n">
        <v>956</v>
      </c>
      <c r="F21" s="8" t="s">
        <v>92</v>
      </c>
      <c r="G21" s="8" t="s">
        <v>74</v>
      </c>
      <c r="H21" s="10"/>
      <c r="I21" s="10" t="n">
        <v>0.043</v>
      </c>
      <c r="J21" s="10" t="n">
        <v>0.021</v>
      </c>
      <c r="K21" s="8" t="n">
        <v>0</v>
      </c>
      <c r="L21" s="8" t="n">
        <v>3</v>
      </c>
      <c r="M21" s="10" t="n">
        <v>0.024</v>
      </c>
      <c r="N21" s="8" t="n">
        <v>0</v>
      </c>
      <c r="O21" s="9" t="n">
        <v>458</v>
      </c>
      <c r="P21" s="10" t="n">
        <f aca="false">IF(AND(ISNUMBER(O21),ISNUMBER(D21),D21&gt;0),O21/D21,"")</f>
        <v>0.146232439335888</v>
      </c>
      <c r="Q21" s="9"/>
      <c r="R21" s="9" t="n">
        <v>902</v>
      </c>
      <c r="S21" s="9" t="n">
        <v>1554</v>
      </c>
      <c r="T21" s="11" t="n">
        <f aca="false">IF(AND(ISNUMBER(S21),ISNUMBER(D21),D21&gt;0),S21/D21,"")</f>
        <v>0.496168582375479</v>
      </c>
      <c r="U21" s="10" t="n">
        <v>0.117</v>
      </c>
      <c r="V21" s="10" t="n">
        <v>0.08</v>
      </c>
      <c r="W21" s="10" t="n">
        <v>0.05</v>
      </c>
      <c r="X21" s="10" t="n">
        <v>0.1</v>
      </c>
      <c r="Y21" s="8" t="n">
        <v>0</v>
      </c>
      <c r="Z21" s="8" t="s">
        <v>74</v>
      </c>
      <c r="AA21" s="8" t="n">
        <v>41</v>
      </c>
      <c r="AB21" s="8" t="n">
        <v>1</v>
      </c>
      <c r="AC21" s="11" t="n">
        <f aca="false">IF(AND(ISNUMBER(AA21),ISNUMBER(D21),D21&gt;0),AA21/D21*100,"")</f>
        <v>1.30906768837803</v>
      </c>
      <c r="AD21" s="12" t="n">
        <v>0</v>
      </c>
      <c r="AE21" s="8" t="s">
        <v>74</v>
      </c>
      <c r="AF21" s="8" t="s">
        <v>77</v>
      </c>
      <c r="AG21" s="12" t="n">
        <v>287.01</v>
      </c>
      <c r="AH21" s="12" t="n">
        <v>368.6</v>
      </c>
      <c r="AI21" s="12" t="n">
        <v>387.26</v>
      </c>
      <c r="AJ21" s="12" t="n">
        <v>501.51</v>
      </c>
      <c r="AK21" s="8" t="n">
        <v>18</v>
      </c>
      <c r="AL21" s="10" t="n">
        <v>0.6</v>
      </c>
      <c r="AM21" s="8" t="s">
        <v>74</v>
      </c>
      <c r="AN21" s="12" t="n">
        <v>30</v>
      </c>
      <c r="AO21" s="8" t="s">
        <v>77</v>
      </c>
      <c r="AP21" s="8" t="s">
        <v>77</v>
      </c>
      <c r="AQ21" s="10" t="n">
        <v>0.8</v>
      </c>
      <c r="AR21" s="8" t="n">
        <v>3</v>
      </c>
      <c r="AS21" s="8" t="n">
        <v>3</v>
      </c>
      <c r="AT21" s="8" t="n">
        <v>0</v>
      </c>
      <c r="AU21" s="8" t="n">
        <v>4</v>
      </c>
      <c r="AV21" s="8" t="n">
        <v>2</v>
      </c>
      <c r="AW21" s="8" t="n">
        <v>2</v>
      </c>
      <c r="AX21" s="8" t="n">
        <v>2</v>
      </c>
      <c r="AY21" s="8" t="n">
        <v>2</v>
      </c>
      <c r="AZ21" s="8" t="n">
        <v>3</v>
      </c>
      <c r="BA21" s="8" t="n">
        <v>3</v>
      </c>
      <c r="BB21" s="8" t="n">
        <v>3</v>
      </c>
      <c r="BC21" s="8" t="n">
        <v>3</v>
      </c>
      <c r="BD21" s="8" t="n">
        <v>3</v>
      </c>
      <c r="BE21" s="8" t="n">
        <v>1</v>
      </c>
      <c r="BF21" s="8" t="n">
        <v>3</v>
      </c>
      <c r="BG21" s="8" t="n">
        <v>1</v>
      </c>
      <c r="BH21" s="8" t="n">
        <v>5</v>
      </c>
      <c r="BI21" s="8" t="n">
        <v>5</v>
      </c>
      <c r="BJ21" s="9" t="n">
        <v>192</v>
      </c>
      <c r="BK21" s="9" t="n">
        <v>0</v>
      </c>
      <c r="BL21" s="9" t="n">
        <v>140</v>
      </c>
      <c r="BM21" s="9" t="n">
        <v>183</v>
      </c>
      <c r="BN21" s="10" t="n">
        <v>0.5</v>
      </c>
      <c r="BO21" s="10" t="n">
        <v>0.2</v>
      </c>
      <c r="BP21" s="10" t="n">
        <f aca="false">IF(AND(ISNUMBER(BN21),ISNUMBER(BO21)),BN21+BO21,"")</f>
        <v>0.7</v>
      </c>
      <c r="BQ21" s="10" t="n">
        <v>0.2</v>
      </c>
      <c r="BR21" s="10" t="n">
        <v>0.1</v>
      </c>
      <c r="BS21" s="10" t="n">
        <v>0</v>
      </c>
    </row>
    <row r="22" customFormat="false" ht="15" hidden="false" customHeight="false" outlineLevel="0" collapsed="false">
      <c r="A22" s="8" t="s">
        <v>99</v>
      </c>
      <c r="B22" s="8" t="s">
        <v>72</v>
      </c>
      <c r="C22" s="8" t="n">
        <v>1</v>
      </c>
      <c r="D22" s="9" t="n">
        <v>65</v>
      </c>
      <c r="E22" s="9" t="n">
        <v>88</v>
      </c>
      <c r="F22" s="8" t="s">
        <v>92</v>
      </c>
      <c r="G22" s="8" t="s">
        <v>74</v>
      </c>
      <c r="H22" s="10" t="n">
        <v>0</v>
      </c>
      <c r="I22" s="10" t="n">
        <v>0.013</v>
      </c>
      <c r="J22" s="10" t="n">
        <v>0.014</v>
      </c>
      <c r="K22" s="8" t="n">
        <v>0</v>
      </c>
      <c r="L22" s="8" t="n">
        <v>15</v>
      </c>
      <c r="M22" s="10" t="n">
        <v>0.009</v>
      </c>
      <c r="N22" s="8" t="n">
        <v>0</v>
      </c>
      <c r="O22" s="9" t="n">
        <v>0</v>
      </c>
      <c r="P22" s="10" t="n">
        <f aca="false">IF(AND(ISNUMBER(O22),ISNUMBER(D22),D22&gt;0),O22/D22,"")</f>
        <v>0</v>
      </c>
      <c r="Q22" s="9" t="n">
        <v>3</v>
      </c>
      <c r="R22" s="9" t="n">
        <v>3</v>
      </c>
      <c r="S22" s="9" t="n">
        <v>6</v>
      </c>
      <c r="T22" s="11" t="n">
        <f aca="false">IF(AND(ISNUMBER(S22),ISNUMBER(D22),D22&gt;0),S22/D22,"")</f>
        <v>0.0923076923076923</v>
      </c>
      <c r="U22" s="10" t="n">
        <v>0.08</v>
      </c>
      <c r="V22" s="10" t="n">
        <v>0.13</v>
      </c>
      <c r="W22" s="10" t="n">
        <v>0.12</v>
      </c>
      <c r="X22" s="10" t="n">
        <v>0.01</v>
      </c>
      <c r="Y22" s="8" t="n">
        <v>0</v>
      </c>
      <c r="Z22" s="8" t="s">
        <v>77</v>
      </c>
      <c r="AA22" s="8" t="n">
        <v>0</v>
      </c>
      <c r="AB22" s="8" t="n">
        <v>0</v>
      </c>
      <c r="AC22" s="11" t="n">
        <f aca="false">IF(AND(ISNUMBER(AA22),ISNUMBER(D22),D22&gt;0),AA22/D22*100,"")</f>
        <v>0</v>
      </c>
      <c r="AD22" s="12"/>
      <c r="AE22" s="8" t="s">
        <v>74</v>
      </c>
      <c r="AF22" s="8" t="s">
        <v>77</v>
      </c>
      <c r="AG22" s="12" t="n">
        <v>301</v>
      </c>
      <c r="AH22" s="12" t="n">
        <v>356.47</v>
      </c>
      <c r="AI22" s="12" t="n">
        <v>455</v>
      </c>
      <c r="AJ22" s="12" t="n">
        <v>502</v>
      </c>
      <c r="AK22" s="8" t="n">
        <v>29</v>
      </c>
      <c r="AL22" s="10" t="n">
        <v>1.3</v>
      </c>
      <c r="AM22" s="8" t="s">
        <v>77</v>
      </c>
      <c r="AN22" s="12"/>
      <c r="AO22" s="8" t="s">
        <v>74</v>
      </c>
      <c r="AP22" s="8" t="s">
        <v>74</v>
      </c>
      <c r="AQ22" s="10"/>
      <c r="AR22" s="8" t="n">
        <v>3</v>
      </c>
      <c r="AS22" s="8" t="n">
        <v>0</v>
      </c>
      <c r="AT22" s="8" t="n">
        <v>3</v>
      </c>
      <c r="AU22" s="8" t="n">
        <v>3</v>
      </c>
      <c r="AV22" s="8" t="n">
        <v>4</v>
      </c>
      <c r="AW22" s="8" t="n">
        <v>5</v>
      </c>
      <c r="AX22" s="8" t="n">
        <v>1</v>
      </c>
      <c r="AY22" s="8" t="n">
        <v>2</v>
      </c>
      <c r="AZ22" s="8" t="n">
        <v>5</v>
      </c>
      <c r="BA22" s="8" t="n">
        <v>4</v>
      </c>
      <c r="BB22" s="8" t="n">
        <v>3</v>
      </c>
      <c r="BC22" s="8" t="n">
        <v>5</v>
      </c>
      <c r="BD22" s="8" t="n">
        <v>1</v>
      </c>
      <c r="BE22" s="8" t="n">
        <v>1</v>
      </c>
      <c r="BF22" s="8" t="n">
        <v>3</v>
      </c>
      <c r="BG22" s="8" t="n">
        <v>3</v>
      </c>
      <c r="BH22" s="8" t="n">
        <v>4</v>
      </c>
      <c r="BI22" s="8" t="n">
        <v>3</v>
      </c>
      <c r="BJ22" s="9" t="n">
        <v>1</v>
      </c>
      <c r="BK22" s="9" t="n">
        <v>0</v>
      </c>
      <c r="BL22" s="9" t="n">
        <v>0</v>
      </c>
      <c r="BM22" s="9" t="n">
        <v>0</v>
      </c>
      <c r="BN22" s="10" t="n">
        <v>0.2</v>
      </c>
      <c r="BO22" s="10" t="n">
        <v>0.3</v>
      </c>
      <c r="BP22" s="10" t="n">
        <f aca="false">IF(AND(ISNUMBER(BN22),ISNUMBER(BO22)),BN22+BO22,"")</f>
        <v>0.5</v>
      </c>
      <c r="BQ22" s="10" t="n">
        <v>0.3</v>
      </c>
      <c r="BR22" s="10" t="n">
        <v>0.1</v>
      </c>
      <c r="BS22" s="10" t="n">
        <v>0.1</v>
      </c>
    </row>
    <row r="23" customFormat="false" ht="15" hidden="false" customHeight="false" outlineLevel="0" collapsed="false">
      <c r="A23" s="8" t="s">
        <v>100</v>
      </c>
      <c r="B23" s="8" t="s">
        <v>72</v>
      </c>
      <c r="C23" s="8" t="n">
        <v>1</v>
      </c>
      <c r="D23" s="9" t="n">
        <v>653</v>
      </c>
      <c r="E23" s="9" t="n">
        <v>73</v>
      </c>
      <c r="F23" s="8" t="s">
        <v>81</v>
      </c>
      <c r="G23" s="8" t="s">
        <v>74</v>
      </c>
      <c r="H23" s="10" t="n">
        <v>0</v>
      </c>
      <c r="I23" s="10" t="n">
        <v>0.006</v>
      </c>
      <c r="J23" s="10" t="n">
        <v>0.008</v>
      </c>
      <c r="K23" s="8" t="n">
        <v>0</v>
      </c>
      <c r="L23" s="8" t="n">
        <v>10</v>
      </c>
      <c r="M23" s="10" t="n">
        <v>0.013</v>
      </c>
      <c r="N23" s="8" t="n">
        <v>0</v>
      </c>
      <c r="O23" s="9" t="n">
        <v>44</v>
      </c>
      <c r="P23" s="10" t="n">
        <f aca="false">IF(AND(ISNUMBER(O23),ISNUMBER(D23),D23&gt;0),O23/D23,"")</f>
        <v>0.0673813169984686</v>
      </c>
      <c r="Q23" s="9" t="n">
        <v>75</v>
      </c>
      <c r="R23" s="9" t="n">
        <v>75</v>
      </c>
      <c r="S23" s="9" t="n">
        <v>286</v>
      </c>
      <c r="T23" s="11" t="n">
        <f aca="false">IF(AND(ISNUMBER(S23),ISNUMBER(D23),D23&gt;0),S23/D23,"")</f>
        <v>0.437978560490046</v>
      </c>
      <c r="U23" s="10" t="n">
        <v>0.1</v>
      </c>
      <c r="V23" s="10" t="n">
        <v>0.07</v>
      </c>
      <c r="W23" s="10" t="n">
        <v>0.07</v>
      </c>
      <c r="X23" s="10" t="n">
        <v>0.1</v>
      </c>
      <c r="Y23" s="8" t="n">
        <v>0</v>
      </c>
      <c r="Z23" s="8" t="s">
        <v>74</v>
      </c>
      <c r="AA23" s="8" t="n">
        <v>14</v>
      </c>
      <c r="AB23" s="8" t="n">
        <v>0</v>
      </c>
      <c r="AC23" s="11" t="n">
        <f aca="false">IF(AND(ISNUMBER(AA23),ISNUMBER(D23),D23&gt;0),AA23/D23*100,"")</f>
        <v>2.14395099540582</v>
      </c>
      <c r="AD23" s="12" t="n">
        <v>8000</v>
      </c>
      <c r="AE23" s="8" t="s">
        <v>74</v>
      </c>
      <c r="AF23" s="8" t="s">
        <v>77</v>
      </c>
      <c r="AG23" s="12" t="n">
        <v>345.89</v>
      </c>
      <c r="AH23" s="12" t="n">
        <v>416.64</v>
      </c>
      <c r="AI23" s="12" t="n">
        <v>463.81</v>
      </c>
      <c r="AJ23" s="12" t="n">
        <v>495.25</v>
      </c>
      <c r="AK23" s="8" t="n">
        <v>25</v>
      </c>
      <c r="AL23" s="10" t="n">
        <v>0.6</v>
      </c>
      <c r="AM23" s="8" t="s">
        <v>77</v>
      </c>
      <c r="AN23" s="12"/>
      <c r="AO23" s="8" t="s">
        <v>77</v>
      </c>
      <c r="AP23" s="8" t="s">
        <v>74</v>
      </c>
      <c r="AQ23" s="10" t="n">
        <v>0.9</v>
      </c>
      <c r="AR23" s="8" t="n">
        <v>4</v>
      </c>
      <c r="AS23" s="8" t="n">
        <v>2</v>
      </c>
      <c r="AT23" s="8" t="n">
        <v>1</v>
      </c>
      <c r="AU23" s="8" t="n">
        <v>4</v>
      </c>
      <c r="AV23" s="8" t="n">
        <v>1</v>
      </c>
      <c r="AW23" s="8" t="n">
        <v>1</v>
      </c>
      <c r="AX23" s="8" t="n">
        <v>1</v>
      </c>
      <c r="AY23" s="8" t="n">
        <v>2</v>
      </c>
      <c r="AZ23" s="8" t="n">
        <v>2</v>
      </c>
      <c r="BA23" s="8" t="n">
        <v>2</v>
      </c>
      <c r="BB23" s="8" t="n">
        <v>3</v>
      </c>
      <c r="BC23" s="8" t="n">
        <v>3</v>
      </c>
      <c r="BD23" s="8" t="n">
        <v>2</v>
      </c>
      <c r="BE23" s="8" t="n">
        <v>2</v>
      </c>
      <c r="BF23" s="8" t="n">
        <v>1</v>
      </c>
      <c r="BG23" s="8" t="n">
        <v>2</v>
      </c>
      <c r="BH23" s="8" t="n">
        <v>4</v>
      </c>
      <c r="BI23" s="8" t="n">
        <v>1</v>
      </c>
      <c r="BJ23" s="9" t="n">
        <v>17</v>
      </c>
      <c r="BK23" s="9" t="n">
        <v>0</v>
      </c>
      <c r="BL23" s="9" t="n">
        <v>28</v>
      </c>
      <c r="BM23" s="9" t="n">
        <v>28</v>
      </c>
      <c r="BN23" s="10" t="n">
        <v>0.7</v>
      </c>
      <c r="BO23" s="10" t="n">
        <v>0.1</v>
      </c>
      <c r="BP23" s="10" t="n">
        <f aca="false">IF(AND(ISNUMBER(BN23),ISNUMBER(BO23)),BN23+BO23,"")</f>
        <v>0.8</v>
      </c>
      <c r="BQ23" s="10" t="n">
        <v>0.2</v>
      </c>
      <c r="BR23" s="10" t="n">
        <v>0</v>
      </c>
      <c r="BS23" s="10" t="n">
        <v>0</v>
      </c>
    </row>
    <row r="24" customFormat="false" ht="15" hidden="false" customHeight="false" outlineLevel="0" collapsed="false">
      <c r="A24" s="8" t="s">
        <v>101</v>
      </c>
      <c r="B24" s="8" t="s">
        <v>72</v>
      </c>
      <c r="C24" s="8" t="n">
        <v>1</v>
      </c>
      <c r="D24" s="9" t="n">
        <v>345</v>
      </c>
      <c r="E24" s="9" t="n">
        <v>165</v>
      </c>
      <c r="F24" s="8" t="s">
        <v>92</v>
      </c>
      <c r="G24" s="8" t="s">
        <v>74</v>
      </c>
      <c r="H24" s="10"/>
      <c r="I24" s="10" t="n">
        <v>0.037</v>
      </c>
      <c r="J24" s="10" t="n">
        <v>0.01</v>
      </c>
      <c r="K24" s="8" t="n">
        <v>0</v>
      </c>
      <c r="L24" s="8" t="n">
        <v>3</v>
      </c>
      <c r="M24" s="10" t="n">
        <v>0.013</v>
      </c>
      <c r="N24" s="8" t="n">
        <v>0</v>
      </c>
      <c r="O24" s="9" t="n">
        <v>32</v>
      </c>
      <c r="P24" s="10" t="n">
        <f aca="false">IF(AND(ISNUMBER(O24),ISNUMBER(D24),D24&gt;0),O24/D24,"")</f>
        <v>0.0927536231884058</v>
      </c>
      <c r="Q24" s="9" t="n">
        <v>40</v>
      </c>
      <c r="R24" s="9" t="n">
        <v>40</v>
      </c>
      <c r="S24" s="9" t="n">
        <v>20</v>
      </c>
      <c r="T24" s="11" t="n">
        <f aca="false">IF(AND(ISNUMBER(S24),ISNUMBER(D24),D24&gt;0),S24/D24,"")</f>
        <v>0.0579710144927536</v>
      </c>
      <c r="U24" s="10" t="n">
        <v>0.07</v>
      </c>
      <c r="V24" s="10" t="n">
        <v>0.07</v>
      </c>
      <c r="W24" s="10" t="n">
        <v>0.06</v>
      </c>
      <c r="X24" s="10" t="n">
        <v>0.12</v>
      </c>
      <c r="Y24" s="8" t="n">
        <v>0</v>
      </c>
      <c r="Z24" s="8"/>
      <c r="AA24" s="8"/>
      <c r="AB24" s="8" t="n">
        <v>0</v>
      </c>
      <c r="AC24" s="11" t="str">
        <f aca="false">IF(AND(ISNUMBER(AA24),ISNUMBER(D24),D24&gt;0),AA24/D24*100,"")</f>
        <v/>
      </c>
      <c r="AD24" s="12"/>
      <c r="AE24" s="8" t="s">
        <v>74</v>
      </c>
      <c r="AF24" s="8" t="s">
        <v>77</v>
      </c>
      <c r="AG24" s="12" t="n">
        <v>312.59</v>
      </c>
      <c r="AH24" s="12" t="n">
        <v>321.31</v>
      </c>
      <c r="AI24" s="12" t="n">
        <v>427.65</v>
      </c>
      <c r="AJ24" s="12" t="n">
        <v>427.65</v>
      </c>
      <c r="AK24" s="8" t="n">
        <v>15</v>
      </c>
      <c r="AL24" s="10" t="n">
        <v>0.25</v>
      </c>
      <c r="AM24" s="8"/>
      <c r="AN24" s="12"/>
      <c r="AO24" s="8" t="s">
        <v>77</v>
      </c>
      <c r="AP24" s="8" t="s">
        <v>74</v>
      </c>
      <c r="AQ24" s="10"/>
      <c r="AR24" s="8" t="n">
        <v>4</v>
      </c>
      <c r="AS24" s="8" t="n">
        <v>3</v>
      </c>
      <c r="AT24" s="8" t="n">
        <v>3</v>
      </c>
      <c r="AU24" s="8" t="n">
        <v>2</v>
      </c>
      <c r="AV24" s="8" t="n">
        <v>3</v>
      </c>
      <c r="AW24" s="8" t="n">
        <v>3</v>
      </c>
      <c r="AX24" s="8" t="n">
        <v>4</v>
      </c>
      <c r="AY24" s="8" t="n">
        <v>5</v>
      </c>
      <c r="AZ24" s="8" t="n">
        <v>1</v>
      </c>
      <c r="BA24" s="8" t="n">
        <v>2</v>
      </c>
      <c r="BB24" s="8" t="n">
        <v>1</v>
      </c>
      <c r="BC24" s="8" t="n">
        <v>4</v>
      </c>
      <c r="BD24" s="8" t="n">
        <v>3</v>
      </c>
      <c r="BE24" s="8" t="n">
        <v>3</v>
      </c>
      <c r="BF24" s="8" t="n">
        <v>1</v>
      </c>
      <c r="BG24" s="8" t="n">
        <v>1</v>
      </c>
      <c r="BH24" s="8" t="n">
        <v>3</v>
      </c>
      <c r="BI24" s="8" t="n">
        <v>3</v>
      </c>
      <c r="BJ24" s="9" t="n">
        <v>21</v>
      </c>
      <c r="BK24" s="9" t="n">
        <v>13</v>
      </c>
      <c r="BL24" s="9"/>
      <c r="BM24" s="9" t="n">
        <v>2</v>
      </c>
      <c r="BN24" s="10" t="n">
        <v>0.1</v>
      </c>
      <c r="BO24" s="10" t="n">
        <v>0</v>
      </c>
      <c r="BP24" s="10" t="n">
        <f aca="false">IF(AND(ISNUMBER(BN24),ISNUMBER(BO24)),BN24+BO24,"")</f>
        <v>0.1</v>
      </c>
      <c r="BQ24" s="10" t="n">
        <v>0</v>
      </c>
      <c r="BR24" s="10" t="n">
        <v>0.6</v>
      </c>
      <c r="BS24" s="10" t="n">
        <v>0.3</v>
      </c>
    </row>
    <row r="25" customFormat="false" ht="15" hidden="false" customHeight="false" outlineLevel="0" collapsed="false">
      <c r="A25" s="8" t="s">
        <v>102</v>
      </c>
      <c r="B25" s="8" t="s">
        <v>72</v>
      </c>
      <c r="C25" s="8" t="n">
        <v>1</v>
      </c>
      <c r="D25" s="9" t="n">
        <v>842</v>
      </c>
      <c r="E25" s="9" t="n">
        <v>73</v>
      </c>
      <c r="F25" s="8" t="s">
        <v>92</v>
      </c>
      <c r="G25" s="8" t="s">
        <v>74</v>
      </c>
      <c r="H25" s="10" t="n">
        <v>0.2</v>
      </c>
      <c r="I25" s="10" t="n">
        <v>0.036</v>
      </c>
      <c r="J25" s="10" t="n">
        <v>0.029</v>
      </c>
      <c r="K25" s="8" t="n">
        <v>0</v>
      </c>
      <c r="L25" s="8" t="n">
        <v>4</v>
      </c>
      <c r="M25" s="10" t="n">
        <v>0.01</v>
      </c>
      <c r="N25" s="8" t="n">
        <v>0</v>
      </c>
      <c r="O25" s="9" t="n">
        <v>94</v>
      </c>
      <c r="P25" s="10" t="n">
        <f aca="false">IF(AND(ISNUMBER(O25),ISNUMBER(D25),D25&gt;0),O25/D25,"")</f>
        <v>0.111638954869359</v>
      </c>
      <c r="Q25" s="9"/>
      <c r="R25" s="9" t="n">
        <v>33</v>
      </c>
      <c r="S25" s="9" t="n">
        <v>1145</v>
      </c>
      <c r="T25" s="11" t="n">
        <f aca="false">IF(AND(ISNUMBER(S25),ISNUMBER(D25),D25&gt;0),S25/D25,"")</f>
        <v>1.35985748218527</v>
      </c>
      <c r="U25" s="10" t="n">
        <v>0.06</v>
      </c>
      <c r="V25" s="10" t="n">
        <v>0.12</v>
      </c>
      <c r="W25" s="10" t="n">
        <v>0.08</v>
      </c>
      <c r="X25" s="10"/>
      <c r="Y25" s="8" t="n">
        <v>0</v>
      </c>
      <c r="Z25" s="8" t="s">
        <v>74</v>
      </c>
      <c r="AA25" s="8" t="n">
        <v>30</v>
      </c>
      <c r="AB25" s="8" t="n">
        <v>0</v>
      </c>
      <c r="AC25" s="11" t="n">
        <f aca="false">IF(AND(ISNUMBER(AA25),ISNUMBER(D25),D25&gt;0),AA25/D25*100,"")</f>
        <v>3.56294536817102</v>
      </c>
      <c r="AD25" s="12" t="n">
        <v>1333</v>
      </c>
      <c r="AE25" s="8" t="s">
        <v>74</v>
      </c>
      <c r="AF25" s="8" t="s">
        <v>77</v>
      </c>
      <c r="AG25" s="12" t="n">
        <v>331.48</v>
      </c>
      <c r="AH25" s="12" t="n">
        <v>450.29</v>
      </c>
      <c r="AI25" s="12" t="n">
        <v>508.5</v>
      </c>
      <c r="AJ25" s="12" t="n">
        <v>725.58</v>
      </c>
      <c r="AK25" s="8" t="n">
        <v>20</v>
      </c>
      <c r="AL25" s="10" t="n">
        <v>0.5</v>
      </c>
      <c r="AM25" s="8" t="s">
        <v>77</v>
      </c>
      <c r="AN25" s="12"/>
      <c r="AO25" s="8" t="s">
        <v>77</v>
      </c>
      <c r="AP25" s="8" t="s">
        <v>74</v>
      </c>
      <c r="AQ25" s="10" t="n">
        <v>0.95</v>
      </c>
      <c r="AR25" s="8" t="n">
        <v>3</v>
      </c>
      <c r="AS25" s="8" t="n">
        <v>1</v>
      </c>
      <c r="AT25" s="8" t="n">
        <v>2</v>
      </c>
      <c r="AU25" s="8" t="n">
        <v>2</v>
      </c>
      <c r="AV25" s="8" t="n">
        <v>3</v>
      </c>
      <c r="AW25" s="8" t="n">
        <v>4</v>
      </c>
      <c r="AX25" s="8" t="n">
        <v>0</v>
      </c>
      <c r="AY25" s="8" t="n">
        <v>1</v>
      </c>
      <c r="AZ25" s="8" t="n">
        <v>3</v>
      </c>
      <c r="BA25" s="8" t="n">
        <v>3</v>
      </c>
      <c r="BB25" s="8" t="n">
        <v>2</v>
      </c>
      <c r="BC25" s="8" t="n">
        <v>3</v>
      </c>
      <c r="BD25" s="8" t="n">
        <v>1</v>
      </c>
      <c r="BE25" s="8" t="n">
        <v>1</v>
      </c>
      <c r="BF25" s="8" t="n">
        <v>1</v>
      </c>
      <c r="BG25" s="8" t="n">
        <v>1</v>
      </c>
      <c r="BH25" s="8" t="n">
        <v>3</v>
      </c>
      <c r="BI25" s="8" t="n">
        <v>3</v>
      </c>
      <c r="BJ25" s="9" t="n">
        <v>19</v>
      </c>
      <c r="BK25" s="9" t="n">
        <v>42</v>
      </c>
      <c r="BL25" s="9" t="n">
        <v>21</v>
      </c>
      <c r="BM25" s="9" t="n">
        <v>12</v>
      </c>
      <c r="BN25" s="10" t="n">
        <v>0.5</v>
      </c>
      <c r="BO25" s="10" t="n">
        <v>0.3</v>
      </c>
      <c r="BP25" s="10" t="n">
        <f aca="false">IF(AND(ISNUMBER(BN25),ISNUMBER(BO25)),BN25+BO25,"")</f>
        <v>0.8</v>
      </c>
      <c r="BQ25" s="10" t="n">
        <v>0.1</v>
      </c>
      <c r="BR25" s="10" t="n">
        <v>0.1</v>
      </c>
      <c r="BS25" s="10" t="n">
        <v>0</v>
      </c>
    </row>
    <row r="26" customFormat="false" ht="15" hidden="false" customHeight="false" outlineLevel="0" collapsed="false">
      <c r="A26" s="8" t="s">
        <v>103</v>
      </c>
      <c r="B26" s="8" t="s">
        <v>72</v>
      </c>
      <c r="C26" s="8" t="n">
        <v>1</v>
      </c>
      <c r="D26" s="9" t="n">
        <v>668</v>
      </c>
      <c r="E26" s="9" t="n">
        <v>101</v>
      </c>
      <c r="F26" s="8" t="s">
        <v>92</v>
      </c>
      <c r="G26" s="8" t="s">
        <v>74</v>
      </c>
      <c r="H26" s="10" t="n">
        <v>0</v>
      </c>
      <c r="I26" s="10" t="n">
        <v>0.024</v>
      </c>
      <c r="J26" s="10" t="n">
        <v>0.05</v>
      </c>
      <c r="K26" s="8" t="n">
        <v>0</v>
      </c>
      <c r="L26" s="8" t="n">
        <v>5</v>
      </c>
      <c r="M26" s="10" t="n">
        <v>0.024</v>
      </c>
      <c r="N26" s="8" t="n">
        <v>0</v>
      </c>
      <c r="O26" s="9" t="n">
        <v>77</v>
      </c>
      <c r="P26" s="10" t="n">
        <f aca="false">IF(AND(ISNUMBER(O26),ISNUMBER(D26),D26&gt;0),O26/D26,"")</f>
        <v>0.115269461077844</v>
      </c>
      <c r="Q26" s="9" t="n">
        <v>102</v>
      </c>
      <c r="R26" s="9" t="n">
        <v>102</v>
      </c>
      <c r="S26" s="9" t="n">
        <v>960</v>
      </c>
      <c r="T26" s="11" t="n">
        <f aca="false">IF(AND(ISNUMBER(S26),ISNUMBER(D26),D26&gt;0),S26/D26,"")</f>
        <v>1.43712574850299</v>
      </c>
      <c r="U26" s="10" t="n">
        <v>0.05</v>
      </c>
      <c r="V26" s="10" t="n">
        <v>0.085</v>
      </c>
      <c r="W26" s="10" t="n">
        <v>0.085</v>
      </c>
      <c r="X26" s="10" t="n">
        <v>0.07</v>
      </c>
      <c r="Y26" s="8" t="n">
        <v>0</v>
      </c>
      <c r="Z26" s="8" t="s">
        <v>74</v>
      </c>
      <c r="AA26" s="8" t="n">
        <v>20</v>
      </c>
      <c r="AB26" s="8" t="n">
        <v>0</v>
      </c>
      <c r="AC26" s="11" t="n">
        <f aca="false">IF(AND(ISNUMBER(AA26),ISNUMBER(D26),D26&gt;0),AA26/D26*100,"")</f>
        <v>2.9940119760479</v>
      </c>
      <c r="AD26" s="12" t="n">
        <v>998</v>
      </c>
      <c r="AE26" s="8"/>
      <c r="AF26" s="8" t="s">
        <v>77</v>
      </c>
      <c r="AG26" s="12" t="n">
        <v>316</v>
      </c>
      <c r="AH26" s="12" t="n">
        <v>342</v>
      </c>
      <c r="AI26" s="12" t="n">
        <v>399</v>
      </c>
      <c r="AJ26" s="12" t="n">
        <v>411</v>
      </c>
      <c r="AK26" s="8" t="n">
        <v>18</v>
      </c>
      <c r="AL26" s="10" t="n">
        <v>0.25</v>
      </c>
      <c r="AM26" s="8" t="s">
        <v>74</v>
      </c>
      <c r="AN26" s="12" t="n">
        <v>25</v>
      </c>
      <c r="AO26" s="8" t="s">
        <v>77</v>
      </c>
      <c r="AP26" s="8" t="s">
        <v>74</v>
      </c>
      <c r="AQ26" s="10" t="n">
        <v>0.83</v>
      </c>
      <c r="AR26" s="8" t="n">
        <v>2</v>
      </c>
      <c r="AS26" s="8" t="n">
        <v>2</v>
      </c>
      <c r="AT26" s="8" t="n">
        <v>0</v>
      </c>
      <c r="AU26" s="8" t="n">
        <v>1</v>
      </c>
      <c r="AV26" s="8" t="n">
        <v>0</v>
      </c>
      <c r="AW26" s="8" t="n">
        <v>0</v>
      </c>
      <c r="AX26" s="8" t="n">
        <v>1</v>
      </c>
      <c r="AY26" s="8" t="n">
        <v>1</v>
      </c>
      <c r="AZ26" s="8" t="n">
        <v>1</v>
      </c>
      <c r="BA26" s="8" t="n">
        <v>1</v>
      </c>
      <c r="BB26" s="8" t="n">
        <v>1</v>
      </c>
      <c r="BC26" s="8" t="n">
        <v>1</v>
      </c>
      <c r="BD26" s="8" t="n">
        <v>2</v>
      </c>
      <c r="BE26" s="8" t="n">
        <v>1</v>
      </c>
      <c r="BF26" s="8" t="n">
        <v>0</v>
      </c>
      <c r="BG26" s="8" t="n">
        <v>1</v>
      </c>
      <c r="BH26" s="8" t="n">
        <v>3</v>
      </c>
      <c r="BI26" s="8" t="n">
        <v>3</v>
      </c>
      <c r="BJ26" s="9" t="n">
        <v>38</v>
      </c>
      <c r="BK26" s="9" t="n">
        <v>29</v>
      </c>
      <c r="BL26" s="9"/>
      <c r="BM26" s="9" t="n">
        <v>17</v>
      </c>
      <c r="BN26" s="10" t="n">
        <v>0.3</v>
      </c>
      <c r="BO26" s="10" t="n">
        <v>0.3</v>
      </c>
      <c r="BP26" s="10" t="n">
        <f aca="false">IF(AND(ISNUMBER(BN26),ISNUMBER(BO26)),BN26+BO26,"")</f>
        <v>0.6</v>
      </c>
      <c r="BQ26" s="10" t="n">
        <v>0.2</v>
      </c>
      <c r="BR26" s="10" t="n">
        <v>0.1</v>
      </c>
      <c r="BS26" s="10" t="n">
        <v>0.1</v>
      </c>
    </row>
    <row r="27" customFormat="false" ht="15" hidden="false" customHeight="false" outlineLevel="0" collapsed="false">
      <c r="A27" s="8" t="s">
        <v>104</v>
      </c>
      <c r="B27" s="8" t="s">
        <v>72</v>
      </c>
      <c r="C27" s="8" t="n">
        <v>1</v>
      </c>
      <c r="D27" s="9" t="n">
        <v>439</v>
      </c>
      <c r="E27" s="9" t="n">
        <v>35</v>
      </c>
      <c r="F27" s="8" t="s">
        <v>76</v>
      </c>
      <c r="G27" s="8" t="s">
        <v>74</v>
      </c>
      <c r="H27" s="10"/>
      <c r="I27" s="10" t="n">
        <v>0.012</v>
      </c>
      <c r="J27" s="10" t="n">
        <v>0.1</v>
      </c>
      <c r="K27" s="8" t="n">
        <v>0</v>
      </c>
      <c r="L27" s="8" t="n">
        <v>20</v>
      </c>
      <c r="M27" s="10" t="n">
        <v>0.1</v>
      </c>
      <c r="N27" s="8" t="n">
        <v>0</v>
      </c>
      <c r="O27" s="9" t="n">
        <v>120</v>
      </c>
      <c r="P27" s="10" t="n">
        <f aca="false">IF(AND(ISNUMBER(O27),ISNUMBER(D27),D27&gt;0),O27/D27,"")</f>
        <v>0.273348519362187</v>
      </c>
      <c r="Q27" s="9" t="n">
        <v>119</v>
      </c>
      <c r="R27" s="9" t="n">
        <v>90</v>
      </c>
      <c r="S27" s="9" t="n">
        <v>134</v>
      </c>
      <c r="T27" s="11" t="n">
        <f aca="false">IF(AND(ISNUMBER(S27),ISNUMBER(D27),D27&gt;0),S27/D27,"")</f>
        <v>0.305239179954442</v>
      </c>
      <c r="U27" s="10" t="n">
        <v>0.06</v>
      </c>
      <c r="V27" s="10" t="n">
        <v>0.105</v>
      </c>
      <c r="W27" s="10" t="n">
        <v>0.12</v>
      </c>
      <c r="X27" s="10" t="n">
        <v>0.005</v>
      </c>
      <c r="Y27" s="8" t="n">
        <v>1</v>
      </c>
      <c r="Z27" s="8" t="s">
        <v>77</v>
      </c>
      <c r="AA27" s="8" t="n">
        <v>0</v>
      </c>
      <c r="AB27" s="8" t="n">
        <v>0</v>
      </c>
      <c r="AC27" s="11" t="n">
        <f aca="false">IF(AND(ISNUMBER(AA27),ISNUMBER(D27),D27&gt;0),AA27/D27*100,"")</f>
        <v>0</v>
      </c>
      <c r="AD27" s="12"/>
      <c r="AE27" s="8" t="s">
        <v>77</v>
      </c>
      <c r="AF27" s="8" t="s">
        <v>74</v>
      </c>
      <c r="AG27" s="12" t="n">
        <v>226</v>
      </c>
      <c r="AH27" s="12" t="n">
        <v>248.5</v>
      </c>
      <c r="AI27" s="12" t="n">
        <v>282</v>
      </c>
      <c r="AJ27" s="12" t="n">
        <v>423.5</v>
      </c>
      <c r="AK27" s="8" t="n">
        <v>32</v>
      </c>
      <c r="AL27" s="10" t="n">
        <v>0.5</v>
      </c>
      <c r="AM27" s="8" t="s">
        <v>77</v>
      </c>
      <c r="AN27" s="12"/>
      <c r="AO27" s="8" t="s">
        <v>77</v>
      </c>
      <c r="AP27" s="8" t="s">
        <v>74</v>
      </c>
      <c r="AQ27" s="10"/>
      <c r="AR27" s="8" t="n">
        <v>1</v>
      </c>
      <c r="AS27" s="8" t="n">
        <v>1</v>
      </c>
      <c r="AT27" s="8" t="n">
        <v>2</v>
      </c>
      <c r="AU27" s="8" t="n">
        <v>3</v>
      </c>
      <c r="AV27" s="8" t="n">
        <v>1</v>
      </c>
      <c r="AW27" s="8" t="n">
        <v>1</v>
      </c>
      <c r="AX27" s="8" t="n">
        <v>2</v>
      </c>
      <c r="AY27" s="8" t="n">
        <v>1</v>
      </c>
      <c r="AZ27" s="8" t="n">
        <v>1</v>
      </c>
      <c r="BA27" s="8" t="n">
        <v>1</v>
      </c>
      <c r="BB27" s="8" t="n">
        <v>3</v>
      </c>
      <c r="BC27" s="8" t="n">
        <v>3</v>
      </c>
      <c r="BD27" s="8" t="n">
        <v>1</v>
      </c>
      <c r="BE27" s="8" t="n">
        <v>1</v>
      </c>
      <c r="BF27" s="8" t="n">
        <v>0</v>
      </c>
      <c r="BG27" s="8" t="n">
        <v>0</v>
      </c>
      <c r="BH27" s="8" t="n">
        <v>4</v>
      </c>
      <c r="BI27" s="8" t="n">
        <v>5</v>
      </c>
      <c r="BJ27" s="9" t="n">
        <v>48</v>
      </c>
      <c r="BK27" s="9" t="n">
        <v>57</v>
      </c>
      <c r="BL27" s="9" t="n">
        <v>10</v>
      </c>
      <c r="BM27" s="9" t="n">
        <v>2</v>
      </c>
      <c r="BN27" s="10" t="n">
        <v>0.4</v>
      </c>
      <c r="BO27" s="10" t="n">
        <v>0.3</v>
      </c>
      <c r="BP27" s="10" t="n">
        <f aca="false">IF(AND(ISNUMBER(BN27),ISNUMBER(BO27)),BN27+BO27,"")</f>
        <v>0.7</v>
      </c>
      <c r="BQ27" s="10" t="n">
        <v>0.2</v>
      </c>
      <c r="BR27" s="10" t="n">
        <v>0.1</v>
      </c>
      <c r="BS27" s="10" t="n">
        <v>0</v>
      </c>
    </row>
    <row r="28" customFormat="false" ht="15" hidden="false" customHeight="false" outlineLevel="0" collapsed="false">
      <c r="A28" s="8" t="s">
        <v>105</v>
      </c>
      <c r="B28" s="8" t="s">
        <v>72</v>
      </c>
      <c r="C28" s="8" t="n">
        <v>1</v>
      </c>
      <c r="D28" s="9" t="n">
        <v>0</v>
      </c>
      <c r="E28" s="9" t="n">
        <v>12</v>
      </c>
      <c r="F28" s="8" t="s">
        <v>81</v>
      </c>
      <c r="G28" s="8" t="s">
        <v>77</v>
      </c>
      <c r="H28" s="10"/>
      <c r="I28" s="10" t="n">
        <v>0.001</v>
      </c>
      <c r="J28" s="10"/>
      <c r="K28" s="8" t="n">
        <v>0</v>
      </c>
      <c r="L28" s="8"/>
      <c r="M28" s="10" t="n">
        <v>0.001</v>
      </c>
      <c r="N28" s="8" t="n">
        <v>0</v>
      </c>
      <c r="O28" s="9" t="n">
        <v>0</v>
      </c>
      <c r="P28" s="10" t="str">
        <f aca="false">IF(AND(ISNUMBER(O28),ISNUMBER(D28),D28&gt;0),O28/D28,"")</f>
        <v/>
      </c>
      <c r="Q28" s="9" t="n">
        <v>0</v>
      </c>
      <c r="R28" s="9" t="n">
        <v>0</v>
      </c>
      <c r="S28" s="9" t="n">
        <v>0</v>
      </c>
      <c r="T28" s="11" t="str">
        <f aca="false">IF(AND(ISNUMBER(S28),ISNUMBER(D28),D28&gt;0),S28/D28,"")</f>
        <v/>
      </c>
      <c r="U28" s="10"/>
      <c r="V28" s="10"/>
      <c r="W28" s="10"/>
      <c r="X28" s="10"/>
      <c r="Y28" s="8" t="n">
        <v>0</v>
      </c>
      <c r="Z28" s="8" t="s">
        <v>77</v>
      </c>
      <c r="AA28" s="8" t="n">
        <v>0</v>
      </c>
      <c r="AB28" s="8" t="n">
        <v>0</v>
      </c>
      <c r="AC28" s="11" t="str">
        <f aca="false">IF(AND(ISNUMBER(AA28),ISNUMBER(D28),D28&gt;0),AA28/D28*100,"")</f>
        <v/>
      </c>
      <c r="AD28" s="12"/>
      <c r="AE28" s="8"/>
      <c r="AF28" s="8" t="s">
        <v>77</v>
      </c>
      <c r="AG28" s="12" t="n">
        <v>633.33</v>
      </c>
      <c r="AH28" s="12" t="n">
        <v>766.66</v>
      </c>
      <c r="AI28" s="12" t="n">
        <v>850</v>
      </c>
      <c r="AJ28" s="12" t="n">
        <v>900</v>
      </c>
      <c r="AK28" s="8"/>
      <c r="AL28" s="10"/>
      <c r="AM28" s="8" t="s">
        <v>77</v>
      </c>
      <c r="AN28" s="12"/>
      <c r="AO28" s="8" t="s">
        <v>77</v>
      </c>
      <c r="AP28" s="8"/>
      <c r="AQ28" s="10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9" t="n">
        <v>0</v>
      </c>
      <c r="BK28" s="9" t="n">
        <v>0</v>
      </c>
      <c r="BL28" s="9" t="n">
        <v>0</v>
      </c>
      <c r="BM28" s="9" t="n">
        <v>0</v>
      </c>
      <c r="BN28" s="10"/>
      <c r="BO28" s="10"/>
      <c r="BP28" s="10" t="str">
        <f aca="false">IF(AND(ISNUMBER(BN28),ISNUMBER(BO28)),BN28+BO28,"")</f>
        <v/>
      </c>
      <c r="BQ28" s="10"/>
      <c r="BR28" s="10"/>
      <c r="BS28" s="10"/>
    </row>
    <row r="29" customFormat="false" ht="15" hidden="false" customHeight="false" outlineLevel="0" collapsed="false">
      <c r="A29" s="8" t="s">
        <v>106</v>
      </c>
      <c r="B29" s="8" t="s">
        <v>72</v>
      </c>
      <c r="C29" s="8" t="n">
        <v>1</v>
      </c>
      <c r="D29" s="9" t="n">
        <v>1763</v>
      </c>
      <c r="E29" s="9" t="n">
        <v>467</v>
      </c>
      <c r="F29" s="8" t="s">
        <v>81</v>
      </c>
      <c r="G29" s="8" t="s">
        <v>74</v>
      </c>
      <c r="H29" s="10"/>
      <c r="I29" s="10" t="n">
        <v>0.059</v>
      </c>
      <c r="J29" s="10" t="n">
        <v>0.022</v>
      </c>
      <c r="K29" s="8" t="n">
        <v>0</v>
      </c>
      <c r="L29" s="8" t="n">
        <v>5</v>
      </c>
      <c r="M29" s="10" t="n">
        <v>0.011</v>
      </c>
      <c r="N29" s="8" t="n">
        <v>0</v>
      </c>
      <c r="O29" s="9" t="n">
        <v>289</v>
      </c>
      <c r="P29" s="10" t="n">
        <f aca="false">IF(AND(ISNUMBER(O29),ISNUMBER(D29),D29&gt;0),O29/D29,"")</f>
        <v>0.163925127623369</v>
      </c>
      <c r="Q29" s="9" t="n">
        <v>234</v>
      </c>
      <c r="R29" s="9" t="n">
        <v>150</v>
      </c>
      <c r="S29" s="9" t="n">
        <v>2134</v>
      </c>
      <c r="T29" s="11" t="n">
        <f aca="false">IF(AND(ISNUMBER(S29),ISNUMBER(D29),D29&gt;0),S29/D29,"")</f>
        <v>1.21043675553035</v>
      </c>
      <c r="U29" s="10" t="n">
        <v>0.08</v>
      </c>
      <c r="V29" s="10" t="n">
        <v>0.08</v>
      </c>
      <c r="W29" s="10" t="n">
        <v>0.08</v>
      </c>
      <c r="X29" s="10"/>
      <c r="Y29" s="8" t="n">
        <v>0</v>
      </c>
      <c r="Z29" s="8" t="s">
        <v>74</v>
      </c>
      <c r="AA29" s="8" t="n">
        <v>9</v>
      </c>
      <c r="AB29" s="8" t="n">
        <v>0</v>
      </c>
      <c r="AC29" s="11" t="n">
        <f aca="false">IF(AND(ISNUMBER(AA29),ISNUMBER(D29),D29&gt;0),AA29/D29*100,"")</f>
        <v>0.510493477027794</v>
      </c>
      <c r="AD29" s="12" t="n">
        <v>1500</v>
      </c>
      <c r="AE29" s="8" t="s">
        <v>77</v>
      </c>
      <c r="AF29" s="8" t="s">
        <v>74</v>
      </c>
      <c r="AG29" s="12" t="n">
        <v>350</v>
      </c>
      <c r="AH29" s="12" t="n">
        <v>444</v>
      </c>
      <c r="AI29" s="12" t="n">
        <v>532</v>
      </c>
      <c r="AJ29" s="12" t="n">
        <v>757</v>
      </c>
      <c r="AK29" s="8" t="n">
        <v>22</v>
      </c>
      <c r="AL29" s="10" t="n">
        <v>0.5</v>
      </c>
      <c r="AM29" s="8" t="s">
        <v>77</v>
      </c>
      <c r="AN29" s="12"/>
      <c r="AO29" s="8" t="s">
        <v>77</v>
      </c>
      <c r="AP29" s="8" t="s">
        <v>74</v>
      </c>
      <c r="AQ29" s="10" t="n">
        <v>0.85</v>
      </c>
      <c r="AR29" s="8" t="n">
        <v>3</v>
      </c>
      <c r="AS29" s="8" t="n">
        <v>3</v>
      </c>
      <c r="AT29" s="8" t="n">
        <v>3</v>
      </c>
      <c r="AU29" s="8" t="n">
        <v>3</v>
      </c>
      <c r="AV29" s="8" t="n">
        <v>2</v>
      </c>
      <c r="AW29" s="8" t="n">
        <v>0</v>
      </c>
      <c r="AX29" s="8" t="n">
        <v>3</v>
      </c>
      <c r="AY29" s="8" t="n">
        <v>4</v>
      </c>
      <c r="AZ29" s="8" t="n">
        <v>2</v>
      </c>
      <c r="BA29" s="8" t="n">
        <v>2</v>
      </c>
      <c r="BB29" s="8" t="n">
        <v>2</v>
      </c>
      <c r="BC29" s="8" t="n">
        <v>4</v>
      </c>
      <c r="BD29" s="8" t="n">
        <v>0</v>
      </c>
      <c r="BE29" s="8" t="n">
        <v>0</v>
      </c>
      <c r="BF29" s="8" t="n">
        <v>2</v>
      </c>
      <c r="BG29" s="8" t="n">
        <v>2</v>
      </c>
      <c r="BH29" s="8" t="n">
        <v>2</v>
      </c>
      <c r="BI29" s="8" t="n">
        <v>4</v>
      </c>
      <c r="BJ29" s="9" t="n">
        <v>145</v>
      </c>
      <c r="BK29" s="9" t="n">
        <v>100</v>
      </c>
      <c r="BL29" s="9" t="n">
        <v>0</v>
      </c>
      <c r="BM29" s="9" t="n">
        <v>44</v>
      </c>
      <c r="BN29" s="10" t="n">
        <v>0.6</v>
      </c>
      <c r="BO29" s="10" t="n">
        <v>0.2</v>
      </c>
      <c r="BP29" s="10" t="n">
        <f aca="false">IF(AND(ISNUMBER(BN29),ISNUMBER(BO29)),BN29+BO29,"")</f>
        <v>0.8</v>
      </c>
      <c r="BQ29" s="10" t="n">
        <v>0.1</v>
      </c>
      <c r="BR29" s="10" t="n">
        <v>0</v>
      </c>
      <c r="BS29" s="10" t="n">
        <v>0.1</v>
      </c>
    </row>
    <row r="30" customFormat="false" ht="15" hidden="false" customHeight="false" outlineLevel="0" collapsed="false">
      <c r="A30" s="8" t="s">
        <v>107</v>
      </c>
      <c r="B30" s="8" t="s">
        <v>72</v>
      </c>
      <c r="C30" s="8" t="n">
        <v>1</v>
      </c>
      <c r="D30" s="9" t="n">
        <v>666</v>
      </c>
      <c r="E30" s="9" t="n">
        <v>260</v>
      </c>
      <c r="F30" s="8" t="s">
        <v>73</v>
      </c>
      <c r="G30" s="8" t="s">
        <v>74</v>
      </c>
      <c r="H30" s="10" t="n">
        <v>0.8</v>
      </c>
      <c r="I30" s="10" t="n">
        <v>0.052</v>
      </c>
      <c r="J30" s="10" t="n">
        <v>0.15</v>
      </c>
      <c r="K30" s="8" t="n">
        <v>1</v>
      </c>
      <c r="L30" s="8" t="n">
        <v>7</v>
      </c>
      <c r="M30" s="10" t="n">
        <v>0.04</v>
      </c>
      <c r="N30" s="8" t="n">
        <v>0</v>
      </c>
      <c r="O30" s="9" t="n">
        <v>115</v>
      </c>
      <c r="P30" s="10" t="n">
        <f aca="false">IF(AND(ISNUMBER(O30),ISNUMBER(D30),D30&gt;0),O30/D30,"")</f>
        <v>0.172672672672673</v>
      </c>
      <c r="Q30" s="9" t="n">
        <v>125</v>
      </c>
      <c r="R30" s="9" t="n">
        <v>115</v>
      </c>
      <c r="S30" s="9" t="n">
        <v>434</v>
      </c>
      <c r="T30" s="11" t="n">
        <f aca="false">IF(AND(ISNUMBER(S30),ISNUMBER(D30),D30&gt;0),S30/D30,"")</f>
        <v>0.651651651651652</v>
      </c>
      <c r="U30" s="10" t="n">
        <v>0.06</v>
      </c>
      <c r="V30" s="10" t="n">
        <v>0.1</v>
      </c>
      <c r="W30" s="10" t="n">
        <v>0.07</v>
      </c>
      <c r="X30" s="10" t="n">
        <v>0.11</v>
      </c>
      <c r="Y30" s="8" t="n">
        <v>0</v>
      </c>
      <c r="Z30" s="8" t="s">
        <v>74</v>
      </c>
      <c r="AA30" s="8" t="n">
        <v>11</v>
      </c>
      <c r="AB30" s="8" t="n">
        <v>0</v>
      </c>
      <c r="AC30" s="11" t="n">
        <f aca="false">IF(AND(ISNUMBER(AA30),ISNUMBER(D30),D30&gt;0),AA30/D30*100,"")</f>
        <v>1.65165165165165</v>
      </c>
      <c r="AD30" s="12" t="n">
        <v>1700</v>
      </c>
      <c r="AE30" s="8" t="s">
        <v>74</v>
      </c>
      <c r="AF30" s="8" t="s">
        <v>77</v>
      </c>
      <c r="AG30" s="12" t="n">
        <v>290.25</v>
      </c>
      <c r="AH30" s="12" t="n">
        <v>330.82</v>
      </c>
      <c r="AI30" s="12" t="n">
        <v>502.03</v>
      </c>
      <c r="AJ30" s="12" t="n">
        <v>590</v>
      </c>
      <c r="AK30" s="8" t="n">
        <v>26</v>
      </c>
      <c r="AL30" s="10" t="n">
        <v>0.4</v>
      </c>
      <c r="AM30" s="8" t="s">
        <v>74</v>
      </c>
      <c r="AN30" s="12" t="n">
        <v>22</v>
      </c>
      <c r="AO30" s="8" t="s">
        <v>74</v>
      </c>
      <c r="AP30" s="8" t="s">
        <v>74</v>
      </c>
      <c r="AQ30" s="10" t="n">
        <v>0.98</v>
      </c>
      <c r="AR30" s="8" t="n">
        <v>3</v>
      </c>
      <c r="AS30" s="8" t="n">
        <v>2</v>
      </c>
      <c r="AT30" s="8" t="n">
        <v>1</v>
      </c>
      <c r="AU30" s="8" t="n">
        <v>1</v>
      </c>
      <c r="AV30" s="8" t="n">
        <v>1</v>
      </c>
      <c r="AW30" s="8" t="n">
        <v>0</v>
      </c>
      <c r="AX30" s="8" t="n">
        <v>1</v>
      </c>
      <c r="AY30" s="8" t="n">
        <v>2</v>
      </c>
      <c r="AZ30" s="8" t="n">
        <v>2</v>
      </c>
      <c r="BA30" s="8" t="n">
        <v>2</v>
      </c>
      <c r="BB30" s="8" t="n">
        <v>1</v>
      </c>
      <c r="BC30" s="8" t="n">
        <v>3</v>
      </c>
      <c r="BD30" s="8" t="n">
        <v>1</v>
      </c>
      <c r="BE30" s="8" t="n">
        <v>1</v>
      </c>
      <c r="BF30" s="8" t="n">
        <v>1</v>
      </c>
      <c r="BG30" s="8" t="n">
        <v>1</v>
      </c>
      <c r="BH30" s="8" t="n">
        <v>3</v>
      </c>
      <c r="BI30" s="8" t="n">
        <v>0</v>
      </c>
      <c r="BJ30" s="9" t="n">
        <v>82</v>
      </c>
      <c r="BK30" s="9" t="n">
        <v>12</v>
      </c>
      <c r="BL30" s="9"/>
      <c r="BM30" s="9" t="n">
        <v>23</v>
      </c>
      <c r="BN30" s="10" t="n">
        <v>0.1</v>
      </c>
      <c r="BO30" s="10" t="n">
        <v>0.4</v>
      </c>
      <c r="BP30" s="10" t="n">
        <f aca="false">IF(AND(ISNUMBER(BN30),ISNUMBER(BO30)),BN30+BO30,"")</f>
        <v>0.5</v>
      </c>
      <c r="BQ30" s="10" t="n">
        <v>0.3</v>
      </c>
      <c r="BR30" s="10" t="n">
        <v>0.1</v>
      </c>
      <c r="BS30" s="10" t="n">
        <v>0.1</v>
      </c>
    </row>
    <row r="31" customFormat="false" ht="15" hidden="false" customHeight="false" outlineLevel="0" collapsed="false">
      <c r="A31" s="8" t="s">
        <v>108</v>
      </c>
      <c r="B31" s="8" t="s">
        <v>72</v>
      </c>
      <c r="C31" s="8" t="n">
        <v>1</v>
      </c>
      <c r="D31" s="9" t="n">
        <v>158</v>
      </c>
      <c r="E31" s="9" t="n">
        <v>45</v>
      </c>
      <c r="F31" s="8" t="s">
        <v>73</v>
      </c>
      <c r="G31" s="8" t="s">
        <v>77</v>
      </c>
      <c r="H31" s="10" t="n">
        <v>0.6</v>
      </c>
      <c r="I31" s="10" t="n">
        <v>0.028</v>
      </c>
      <c r="J31" s="10" t="n">
        <v>0.032</v>
      </c>
      <c r="K31" s="8" t="n">
        <v>0</v>
      </c>
      <c r="L31" s="8"/>
      <c r="M31" s="10" t="n">
        <v>0.003</v>
      </c>
      <c r="N31" s="8" t="n">
        <v>0</v>
      </c>
      <c r="O31" s="9" t="n">
        <v>22</v>
      </c>
      <c r="P31" s="10" t="n">
        <f aca="false">IF(AND(ISNUMBER(O31),ISNUMBER(D31),D31&gt;0),O31/D31,"")</f>
        <v>0.139240506329114</v>
      </c>
      <c r="Q31" s="9"/>
      <c r="R31" s="9" t="n">
        <v>19</v>
      </c>
      <c r="S31" s="9" t="n">
        <v>171</v>
      </c>
      <c r="T31" s="11" t="n">
        <f aca="false">IF(AND(ISNUMBER(S31),ISNUMBER(D31),D31&gt;0),S31/D31,"")</f>
        <v>1.08227848101266</v>
      </c>
      <c r="U31" s="10" t="n">
        <v>0.08</v>
      </c>
      <c r="V31" s="10" t="n">
        <v>0.1</v>
      </c>
      <c r="W31" s="10" t="n">
        <v>0.1</v>
      </c>
      <c r="X31" s="10" t="n">
        <v>0.05</v>
      </c>
      <c r="Y31" s="8" t="n">
        <v>0</v>
      </c>
      <c r="Z31" s="8" t="s">
        <v>74</v>
      </c>
      <c r="AA31" s="8" t="n">
        <v>2</v>
      </c>
      <c r="AB31" s="8" t="n">
        <v>0</v>
      </c>
      <c r="AC31" s="11" t="n">
        <f aca="false">IF(AND(ISNUMBER(AA31),ISNUMBER(D31),D31&gt;0),AA31/D31*100,"")</f>
        <v>1.26582278481013</v>
      </c>
      <c r="AD31" s="12" t="n">
        <v>1200</v>
      </c>
      <c r="AE31" s="8" t="s">
        <v>77</v>
      </c>
      <c r="AF31" s="8" t="s">
        <v>74</v>
      </c>
      <c r="AG31" s="12" t="n">
        <v>260</v>
      </c>
      <c r="AH31" s="12" t="n">
        <v>280</v>
      </c>
      <c r="AI31" s="12" t="n">
        <v>307.5</v>
      </c>
      <c r="AJ31" s="12" t="n">
        <v>407</v>
      </c>
      <c r="AK31" s="8" t="n">
        <v>20</v>
      </c>
      <c r="AL31" s="10" t="n">
        <v>0.25</v>
      </c>
      <c r="AM31" s="8" t="s">
        <v>77</v>
      </c>
      <c r="AN31" s="12"/>
      <c r="AO31" s="8" t="s">
        <v>77</v>
      </c>
      <c r="AP31" s="8" t="s">
        <v>77</v>
      </c>
      <c r="AQ31" s="10" t="n">
        <v>0.78</v>
      </c>
      <c r="AR31" s="8" t="n">
        <v>3</v>
      </c>
      <c r="AS31" s="8" t="n">
        <v>2</v>
      </c>
      <c r="AT31" s="8" t="n">
        <v>3</v>
      </c>
      <c r="AU31" s="8" t="n">
        <v>1</v>
      </c>
      <c r="AV31" s="8" t="n">
        <v>1</v>
      </c>
      <c r="AW31" s="8" t="n">
        <v>0</v>
      </c>
      <c r="AX31" s="8" t="n">
        <v>1</v>
      </c>
      <c r="AY31" s="8" t="n">
        <v>1</v>
      </c>
      <c r="AZ31" s="8" t="n">
        <v>2</v>
      </c>
      <c r="BA31" s="8" t="n">
        <v>3</v>
      </c>
      <c r="BB31" s="8" t="n">
        <v>2</v>
      </c>
      <c r="BC31" s="8" t="n">
        <v>3</v>
      </c>
      <c r="BD31" s="8"/>
      <c r="BE31" s="8" t="n">
        <v>2</v>
      </c>
      <c r="BF31" s="8" t="n">
        <v>0</v>
      </c>
      <c r="BG31" s="8" t="n">
        <v>1</v>
      </c>
      <c r="BH31" s="8" t="n">
        <v>3</v>
      </c>
      <c r="BI31" s="8" t="n">
        <v>3</v>
      </c>
      <c r="BJ31" s="9" t="n">
        <v>14</v>
      </c>
      <c r="BK31" s="9" t="n">
        <v>1</v>
      </c>
      <c r="BL31" s="9" t="n">
        <v>0</v>
      </c>
      <c r="BM31" s="9" t="n">
        <v>4</v>
      </c>
      <c r="BN31" s="10" t="n">
        <v>0.9</v>
      </c>
      <c r="BO31" s="10" t="n">
        <v>0</v>
      </c>
      <c r="BP31" s="10" t="n">
        <f aca="false">IF(AND(ISNUMBER(BN31),ISNUMBER(BO31)),BN31+BO31,"")</f>
        <v>0.9</v>
      </c>
      <c r="BQ31" s="10" t="n">
        <v>0</v>
      </c>
      <c r="BR31" s="10" t="n">
        <v>0.1</v>
      </c>
      <c r="BS31" s="10" t="n">
        <v>0</v>
      </c>
    </row>
    <row r="32" customFormat="false" ht="15" hidden="false" customHeight="false" outlineLevel="0" collapsed="false">
      <c r="A32" s="8" t="s">
        <v>109</v>
      </c>
      <c r="B32" s="8" t="s">
        <v>72</v>
      </c>
      <c r="C32" s="8" t="n">
        <v>1</v>
      </c>
      <c r="D32" s="9" t="n">
        <v>263</v>
      </c>
      <c r="E32" s="9" t="n">
        <v>496</v>
      </c>
      <c r="F32" s="8" t="s">
        <v>92</v>
      </c>
      <c r="G32" s="8" t="s">
        <v>74</v>
      </c>
      <c r="H32" s="10" t="n">
        <v>0.2</v>
      </c>
      <c r="I32" s="10" t="n">
        <v>0.021</v>
      </c>
      <c r="J32" s="10" t="n">
        <v>0.004</v>
      </c>
      <c r="K32" s="8" t="n">
        <v>0</v>
      </c>
      <c r="L32" s="8" t="n">
        <v>30</v>
      </c>
      <c r="M32" s="10" t="n">
        <v>0.007</v>
      </c>
      <c r="N32" s="8" t="n">
        <v>0</v>
      </c>
      <c r="O32" s="9" t="n">
        <v>14</v>
      </c>
      <c r="P32" s="10" t="n">
        <f aca="false">IF(AND(ISNUMBER(O32),ISNUMBER(D32),D32&gt;0),O32/D32,"")</f>
        <v>0.0532319391634981</v>
      </c>
      <c r="Q32" s="9" t="n">
        <v>30</v>
      </c>
      <c r="R32" s="9" t="n">
        <v>30</v>
      </c>
      <c r="S32" s="9" t="n">
        <v>20</v>
      </c>
      <c r="T32" s="11" t="n">
        <f aca="false">IF(AND(ISNUMBER(S32),ISNUMBER(D32),D32&gt;0),S32/D32,"")</f>
        <v>0.0760456273764259</v>
      </c>
      <c r="U32" s="10" t="n">
        <v>0.08</v>
      </c>
      <c r="V32" s="10" t="n">
        <v>0.09</v>
      </c>
      <c r="W32" s="10" t="n">
        <v>0.07</v>
      </c>
      <c r="X32" s="10"/>
      <c r="Y32" s="8" t="n">
        <v>0</v>
      </c>
      <c r="Z32" s="8" t="s">
        <v>74</v>
      </c>
      <c r="AA32" s="8" t="n">
        <v>10</v>
      </c>
      <c r="AB32" s="8" t="n">
        <v>0</v>
      </c>
      <c r="AC32" s="11" t="n">
        <f aca="false">IF(AND(ISNUMBER(AA32),ISNUMBER(D32),D32&gt;0),AA32/D32*100,"")</f>
        <v>3.80228136882129</v>
      </c>
      <c r="AD32" s="12" t="n">
        <v>1800</v>
      </c>
      <c r="AE32" s="8" t="s">
        <v>74</v>
      </c>
      <c r="AF32" s="8" t="s">
        <v>77</v>
      </c>
      <c r="AG32" s="12" t="n">
        <v>325</v>
      </c>
      <c r="AH32" s="12" t="n">
        <v>372</v>
      </c>
      <c r="AI32" s="12" t="n">
        <v>430</v>
      </c>
      <c r="AJ32" s="12" t="n">
        <v>499</v>
      </c>
      <c r="AK32" s="8" t="n">
        <v>20</v>
      </c>
      <c r="AL32" s="10" t="n">
        <v>0.4</v>
      </c>
      <c r="AM32" s="8" t="s">
        <v>74</v>
      </c>
      <c r="AN32" s="12" t="n">
        <v>34</v>
      </c>
      <c r="AO32" s="8" t="s">
        <v>77</v>
      </c>
      <c r="AP32" s="8" t="s">
        <v>74</v>
      </c>
      <c r="AQ32" s="10" t="n">
        <v>0.9</v>
      </c>
      <c r="AR32" s="8" t="n">
        <v>3</v>
      </c>
      <c r="AS32" s="8" t="n">
        <v>0</v>
      </c>
      <c r="AT32" s="8" t="n">
        <v>0</v>
      </c>
      <c r="AU32" s="8" t="n">
        <v>0</v>
      </c>
      <c r="AV32" s="8" t="n">
        <v>0</v>
      </c>
      <c r="AW32" s="8" t="n">
        <v>0</v>
      </c>
      <c r="AX32" s="8" t="n">
        <v>0</v>
      </c>
      <c r="AY32" s="8" t="n">
        <v>0</v>
      </c>
      <c r="AZ32" s="8" t="n">
        <v>2</v>
      </c>
      <c r="BA32" s="8" t="n">
        <v>2</v>
      </c>
      <c r="BB32" s="8" t="n">
        <v>2</v>
      </c>
      <c r="BC32" s="8" t="n">
        <v>3</v>
      </c>
      <c r="BD32" s="8" t="n">
        <v>1</v>
      </c>
      <c r="BE32" s="8" t="n">
        <v>0</v>
      </c>
      <c r="BF32" s="8" t="n">
        <v>0</v>
      </c>
      <c r="BG32" s="8" t="n">
        <v>0</v>
      </c>
      <c r="BH32" s="8" t="n">
        <v>0</v>
      </c>
      <c r="BI32" s="8" t="n">
        <v>3</v>
      </c>
      <c r="BJ32" s="9" t="n">
        <v>11</v>
      </c>
      <c r="BK32" s="9" t="n">
        <v>4</v>
      </c>
      <c r="BL32" s="9" t="n">
        <v>5</v>
      </c>
      <c r="BM32" s="9" t="n">
        <v>1</v>
      </c>
      <c r="BN32" s="10" t="n">
        <v>0.1</v>
      </c>
      <c r="BO32" s="10" t="n">
        <v>0</v>
      </c>
      <c r="BP32" s="10" t="n">
        <f aca="false">IF(AND(ISNUMBER(BN32),ISNUMBER(BO32)),BN32+BO32,"")</f>
        <v>0.1</v>
      </c>
      <c r="BQ32" s="10" t="n">
        <v>0.1</v>
      </c>
      <c r="BR32" s="10" t="n">
        <v>0.4</v>
      </c>
      <c r="BS32" s="10" t="n">
        <v>0.4</v>
      </c>
    </row>
    <row r="33" customFormat="false" ht="15" hidden="false" customHeight="false" outlineLevel="0" collapsed="false">
      <c r="A33" s="8" t="s">
        <v>110</v>
      </c>
      <c r="B33" s="8" t="s">
        <v>72</v>
      </c>
      <c r="C33" s="8" t="n">
        <v>1</v>
      </c>
      <c r="D33" s="9" t="n">
        <v>44</v>
      </c>
      <c r="E33" s="9" t="n">
        <v>52</v>
      </c>
      <c r="F33" s="8" t="s">
        <v>81</v>
      </c>
      <c r="G33" s="8" t="s">
        <v>74</v>
      </c>
      <c r="H33" s="10" t="n">
        <v>0</v>
      </c>
      <c r="I33" s="10" t="n">
        <v>0.011</v>
      </c>
      <c r="J33" s="10"/>
      <c r="K33" s="8" t="n">
        <v>0</v>
      </c>
      <c r="L33" s="8" t="n">
        <v>30</v>
      </c>
      <c r="M33" s="10"/>
      <c r="N33" s="8" t="n">
        <v>0</v>
      </c>
      <c r="O33" s="9" t="n">
        <v>0</v>
      </c>
      <c r="P33" s="10" t="n">
        <f aca="false">IF(AND(ISNUMBER(O33),ISNUMBER(D33),D33&gt;0),O33/D33,"")</f>
        <v>0</v>
      </c>
      <c r="Q33" s="9"/>
      <c r="R33" s="9" t="n">
        <v>8</v>
      </c>
      <c r="S33" s="9" t="n">
        <v>14</v>
      </c>
      <c r="T33" s="11" t="n">
        <f aca="false">IF(AND(ISNUMBER(S33),ISNUMBER(D33),D33&gt;0),S33/D33,"")</f>
        <v>0.318181818181818</v>
      </c>
      <c r="U33" s="10" t="n">
        <v>0.06</v>
      </c>
      <c r="V33" s="10" t="n">
        <v>0.08</v>
      </c>
      <c r="W33" s="10" t="n">
        <v>0.13</v>
      </c>
      <c r="X33" s="10"/>
      <c r="Y33" s="8" t="n">
        <v>0</v>
      </c>
      <c r="Z33" s="8" t="s">
        <v>74</v>
      </c>
      <c r="AA33" s="8" t="n">
        <v>4</v>
      </c>
      <c r="AB33" s="8" t="n">
        <v>0</v>
      </c>
      <c r="AC33" s="11" t="n">
        <f aca="false">IF(AND(ISNUMBER(AA33),ISNUMBER(D33),D33&gt;0),AA33/D33*100,"")</f>
        <v>9.09090909090909</v>
      </c>
      <c r="AD33" s="12" t="n">
        <v>2417.58</v>
      </c>
      <c r="AE33" s="8" t="s">
        <v>74</v>
      </c>
      <c r="AF33" s="8" t="s">
        <v>77</v>
      </c>
      <c r="AG33" s="12" t="n">
        <v>321.73</v>
      </c>
      <c r="AH33" s="12" t="n">
        <v>355.29</v>
      </c>
      <c r="AI33" s="12" t="n">
        <v>473.6</v>
      </c>
      <c r="AJ33" s="12" t="n">
        <v>568.47</v>
      </c>
      <c r="AK33" s="8" t="n">
        <v>21</v>
      </c>
      <c r="AL33" s="10" t="n">
        <v>0.5</v>
      </c>
      <c r="AM33" s="8" t="s">
        <v>77</v>
      </c>
      <c r="AN33" s="12"/>
      <c r="AO33" s="8" t="s">
        <v>74</v>
      </c>
      <c r="AP33" s="8" t="s">
        <v>74</v>
      </c>
      <c r="AQ33" s="10" t="n">
        <v>0.7</v>
      </c>
      <c r="AR33" s="8" t="n">
        <v>1</v>
      </c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 t="n">
        <v>1</v>
      </c>
      <c r="BJ33" s="9" t="n">
        <v>1</v>
      </c>
      <c r="BK33" s="9" t="n">
        <v>0</v>
      </c>
      <c r="BL33" s="9" t="n">
        <v>0</v>
      </c>
      <c r="BM33" s="9" t="n">
        <v>0</v>
      </c>
      <c r="BN33" s="10" t="n">
        <v>0</v>
      </c>
      <c r="BO33" s="10" t="n">
        <v>0.2</v>
      </c>
      <c r="BP33" s="10" t="n">
        <f aca="false">IF(AND(ISNUMBER(BN33),ISNUMBER(BO33)),BN33+BO33,"")</f>
        <v>0.2</v>
      </c>
      <c r="BQ33" s="10" t="n">
        <v>0</v>
      </c>
      <c r="BR33" s="10" t="n">
        <v>0</v>
      </c>
      <c r="BS33" s="10" t="n">
        <v>0.8</v>
      </c>
    </row>
    <row r="34" customFormat="false" ht="15" hidden="false" customHeight="false" outlineLevel="0" collapsed="false">
      <c r="A34" s="8" t="s">
        <v>111</v>
      </c>
      <c r="B34" s="8" t="s">
        <v>72</v>
      </c>
      <c r="C34" s="8" t="n">
        <v>1</v>
      </c>
      <c r="D34" s="9" t="n">
        <v>104</v>
      </c>
      <c r="E34" s="9" t="n">
        <v>61</v>
      </c>
      <c r="F34" s="8" t="s">
        <v>73</v>
      </c>
      <c r="G34" s="8" t="s">
        <v>74</v>
      </c>
      <c r="H34" s="10" t="n">
        <v>0</v>
      </c>
      <c r="I34" s="10" t="n">
        <v>0.003</v>
      </c>
      <c r="J34" s="10" t="n">
        <v>0.003</v>
      </c>
      <c r="K34" s="8" t="n">
        <v>0</v>
      </c>
      <c r="L34" s="8" t="n">
        <v>15</v>
      </c>
      <c r="M34" s="10"/>
      <c r="N34" s="8" t="n">
        <v>0</v>
      </c>
      <c r="O34" s="9" t="n">
        <v>11</v>
      </c>
      <c r="P34" s="10" t="n">
        <f aca="false">IF(AND(ISNUMBER(O34),ISNUMBER(D34),D34&gt;0),O34/D34,"")</f>
        <v>0.105769230769231</v>
      </c>
      <c r="Q34" s="9" t="n">
        <v>10</v>
      </c>
      <c r="R34" s="9" t="n">
        <v>10</v>
      </c>
      <c r="S34" s="9" t="n">
        <v>8</v>
      </c>
      <c r="T34" s="11" t="n">
        <f aca="false">IF(AND(ISNUMBER(S34),ISNUMBER(D34),D34&gt;0),S34/D34,"")</f>
        <v>0.0769230769230769</v>
      </c>
      <c r="U34" s="10" t="n">
        <v>0.09</v>
      </c>
      <c r="V34" s="10" t="n">
        <v>0.085</v>
      </c>
      <c r="W34" s="10" t="n">
        <v>0.065</v>
      </c>
      <c r="X34" s="10" t="n">
        <v>0.025</v>
      </c>
      <c r="Y34" s="8" t="n">
        <v>0</v>
      </c>
      <c r="Z34" s="8" t="s">
        <v>74</v>
      </c>
      <c r="AA34" s="8" t="n">
        <v>10</v>
      </c>
      <c r="AB34" s="8" t="n">
        <v>0</v>
      </c>
      <c r="AC34" s="11" t="n">
        <f aca="false">IF(AND(ISNUMBER(AA34),ISNUMBER(D34),D34&gt;0),AA34/D34*100,"")</f>
        <v>9.61538461538462</v>
      </c>
      <c r="AD34" s="12" t="n">
        <v>3500</v>
      </c>
      <c r="AE34" s="8"/>
      <c r="AF34" s="8" t="s">
        <v>74</v>
      </c>
      <c r="AG34" s="12" t="n">
        <v>346.73</v>
      </c>
      <c r="AH34" s="12" t="n">
        <v>378.64</v>
      </c>
      <c r="AI34" s="12" t="n">
        <v>411.51</v>
      </c>
      <c r="AJ34" s="12" t="n">
        <v>466.65</v>
      </c>
      <c r="AK34" s="8" t="n">
        <v>17</v>
      </c>
      <c r="AL34" s="10" t="n">
        <v>0.3</v>
      </c>
      <c r="AM34" s="8" t="s">
        <v>74</v>
      </c>
      <c r="AN34" s="12" t="n">
        <v>48</v>
      </c>
      <c r="AO34" s="8" t="s">
        <v>74</v>
      </c>
      <c r="AP34" s="8" t="s">
        <v>74</v>
      </c>
      <c r="AQ34" s="10" t="n">
        <v>1</v>
      </c>
      <c r="AR34" s="8" t="n">
        <v>2</v>
      </c>
      <c r="AS34" s="8" t="n">
        <v>1</v>
      </c>
      <c r="AT34" s="8" t="n">
        <v>0</v>
      </c>
      <c r="AU34" s="8" t="n">
        <v>0</v>
      </c>
      <c r="AV34" s="8" t="n">
        <v>0</v>
      </c>
      <c r="AW34" s="8" t="n">
        <v>0</v>
      </c>
      <c r="AX34" s="8" t="n">
        <v>0</v>
      </c>
      <c r="AY34" s="8" t="n">
        <v>3</v>
      </c>
      <c r="AZ34" s="8" t="n">
        <v>3</v>
      </c>
      <c r="BA34" s="8" t="n">
        <v>3</v>
      </c>
      <c r="BB34" s="8" t="n">
        <v>1</v>
      </c>
      <c r="BC34" s="8" t="n">
        <v>0</v>
      </c>
      <c r="BD34" s="8" t="n">
        <v>0</v>
      </c>
      <c r="BE34" s="8" t="n">
        <v>3</v>
      </c>
      <c r="BF34" s="8" t="n">
        <v>1</v>
      </c>
      <c r="BG34" s="8" t="n">
        <v>0</v>
      </c>
      <c r="BH34" s="8" t="n">
        <v>0</v>
      </c>
      <c r="BI34" s="8"/>
      <c r="BJ34" s="9" t="n">
        <v>4</v>
      </c>
      <c r="BK34" s="9" t="n">
        <v>2</v>
      </c>
      <c r="BL34" s="9" t="n">
        <v>2</v>
      </c>
      <c r="BM34" s="9" t="n">
        <v>4</v>
      </c>
      <c r="BN34" s="10" t="n">
        <v>0.8</v>
      </c>
      <c r="BO34" s="10" t="n">
        <v>0</v>
      </c>
      <c r="BP34" s="10" t="n">
        <f aca="false">IF(AND(ISNUMBER(BN34),ISNUMBER(BO34)),BN34+BO34,"")</f>
        <v>0.8</v>
      </c>
      <c r="BQ34" s="10" t="n">
        <v>0</v>
      </c>
      <c r="BR34" s="10" t="n">
        <v>0.2</v>
      </c>
      <c r="BS34" s="10" t="n">
        <v>0</v>
      </c>
    </row>
    <row r="35" customFormat="false" ht="15" hidden="false" customHeight="false" outlineLevel="0" collapsed="false">
      <c r="A35" s="8" t="s">
        <v>112</v>
      </c>
      <c r="B35" s="8" t="s">
        <v>72</v>
      </c>
      <c r="C35" s="8" t="n">
        <v>1</v>
      </c>
      <c r="D35" s="9" t="n">
        <v>441</v>
      </c>
      <c r="E35" s="9" t="n">
        <v>320</v>
      </c>
      <c r="F35" s="8" t="s">
        <v>92</v>
      </c>
      <c r="G35" s="8" t="s">
        <v>74</v>
      </c>
      <c r="H35" s="10" t="n">
        <v>0</v>
      </c>
      <c r="I35" s="10" t="n">
        <v>0.006</v>
      </c>
      <c r="J35" s="10" t="n">
        <v>0.03</v>
      </c>
      <c r="K35" s="8" t="n">
        <v>0</v>
      </c>
      <c r="L35" s="8" t="n">
        <v>15</v>
      </c>
      <c r="M35" s="10" t="n">
        <v>0.002</v>
      </c>
      <c r="N35" s="8" t="n">
        <v>0</v>
      </c>
      <c r="O35" s="9" t="n">
        <v>21</v>
      </c>
      <c r="P35" s="10" t="n">
        <f aca="false">IF(AND(ISNUMBER(O35),ISNUMBER(D35),D35&gt;0),O35/D35,"")</f>
        <v>0.0476190476190476</v>
      </c>
      <c r="Q35" s="9" t="n">
        <v>24</v>
      </c>
      <c r="R35" s="9" t="n">
        <v>19</v>
      </c>
      <c r="S35" s="9" t="n">
        <v>105</v>
      </c>
      <c r="T35" s="11" t="n">
        <f aca="false">IF(AND(ISNUMBER(S35),ISNUMBER(D35),D35&gt;0),S35/D35,"")</f>
        <v>0.238095238095238</v>
      </c>
      <c r="U35" s="10" t="n">
        <v>0.056</v>
      </c>
      <c r="V35" s="10" t="n">
        <v>0.12</v>
      </c>
      <c r="W35" s="10" t="n">
        <v>0.08</v>
      </c>
      <c r="X35" s="10"/>
      <c r="Y35" s="8" t="n">
        <v>0</v>
      </c>
      <c r="Z35" s="8" t="s">
        <v>74</v>
      </c>
      <c r="AA35" s="8" t="n">
        <v>41</v>
      </c>
      <c r="AB35" s="8" t="n">
        <v>1</v>
      </c>
      <c r="AC35" s="11" t="n">
        <f aca="false">IF(AND(ISNUMBER(AA35),ISNUMBER(D35),D35&gt;0),AA35/D35*100,"")</f>
        <v>9.29705215419501</v>
      </c>
      <c r="AD35" s="12" t="n">
        <v>1500</v>
      </c>
      <c r="AE35" s="8" t="s">
        <v>74</v>
      </c>
      <c r="AF35" s="8" t="s">
        <v>77</v>
      </c>
      <c r="AG35" s="12" t="n">
        <v>264.15</v>
      </c>
      <c r="AH35" s="12" t="n">
        <v>361.36</v>
      </c>
      <c r="AI35" s="12" t="n">
        <v>524.07</v>
      </c>
      <c r="AJ35" s="12" t="n">
        <v>784</v>
      </c>
      <c r="AK35" s="8" t="n">
        <v>26</v>
      </c>
      <c r="AL35" s="10" t="n">
        <v>0.5</v>
      </c>
      <c r="AM35" s="8" t="s">
        <v>74</v>
      </c>
      <c r="AN35" s="12" t="n">
        <v>25</v>
      </c>
      <c r="AO35" s="8" t="s">
        <v>74</v>
      </c>
      <c r="AP35" s="8" t="s">
        <v>74</v>
      </c>
      <c r="AQ35" s="10" t="n">
        <v>0.8</v>
      </c>
      <c r="AR35" s="8" t="n">
        <v>1</v>
      </c>
      <c r="AS35" s="8"/>
      <c r="AT35" s="8"/>
      <c r="AU35" s="8"/>
      <c r="AV35" s="8" t="n">
        <v>1</v>
      </c>
      <c r="AW35" s="8"/>
      <c r="AX35" s="8" t="n">
        <v>1</v>
      </c>
      <c r="AY35" s="8" t="n">
        <v>1</v>
      </c>
      <c r="AZ35" s="8" t="n">
        <v>1</v>
      </c>
      <c r="BA35" s="8" t="n">
        <v>1</v>
      </c>
      <c r="BB35" s="8" t="n">
        <v>3</v>
      </c>
      <c r="BC35" s="8" t="n">
        <v>1</v>
      </c>
      <c r="BD35" s="8" t="n">
        <v>2</v>
      </c>
      <c r="BE35" s="8" t="n">
        <v>2</v>
      </c>
      <c r="BF35" s="8" t="n">
        <v>2</v>
      </c>
      <c r="BG35" s="8" t="n">
        <v>1</v>
      </c>
      <c r="BH35" s="8" t="n">
        <v>3</v>
      </c>
      <c r="BI35" s="8" t="n">
        <v>2</v>
      </c>
      <c r="BJ35" s="9" t="n">
        <v>14</v>
      </c>
      <c r="BK35" s="9" t="n">
        <v>5</v>
      </c>
      <c r="BL35" s="9" t="n">
        <v>6</v>
      </c>
      <c r="BM35" s="9" t="n">
        <v>1</v>
      </c>
      <c r="BN35" s="10" t="n">
        <v>0</v>
      </c>
      <c r="BO35" s="10" t="n">
        <v>0.1</v>
      </c>
      <c r="BP35" s="10" t="n">
        <f aca="false">IF(AND(ISNUMBER(BN35),ISNUMBER(BO35)),BN35+BO35,"")</f>
        <v>0.1</v>
      </c>
      <c r="BQ35" s="10" t="n">
        <v>0.2</v>
      </c>
      <c r="BR35" s="10" t="n">
        <v>0.3</v>
      </c>
      <c r="BS35" s="10" t="n">
        <v>0.7</v>
      </c>
    </row>
    <row r="36" customFormat="false" ht="15" hidden="false" customHeight="false" outlineLevel="0" collapsed="false">
      <c r="A36" s="8" t="s">
        <v>113</v>
      </c>
      <c r="B36" s="8" t="s">
        <v>72</v>
      </c>
      <c r="C36" s="8" t="n">
        <v>1</v>
      </c>
      <c r="D36" s="9" t="n">
        <v>99</v>
      </c>
      <c r="E36" s="9" t="n">
        <v>53</v>
      </c>
      <c r="F36" s="8" t="s">
        <v>76</v>
      </c>
      <c r="G36" s="8" t="s">
        <v>77</v>
      </c>
      <c r="H36" s="10" t="n">
        <v>0.3</v>
      </c>
      <c r="I36" s="10" t="n">
        <v>0.108</v>
      </c>
      <c r="J36" s="10" t="n">
        <v>0.003</v>
      </c>
      <c r="K36" s="8" t="n">
        <v>0</v>
      </c>
      <c r="L36" s="8"/>
      <c r="M36" s="10" t="n">
        <v>0.01</v>
      </c>
      <c r="N36" s="8" t="n">
        <v>0</v>
      </c>
      <c r="O36" s="9" t="n">
        <v>17</v>
      </c>
      <c r="P36" s="10" t="n">
        <f aca="false">IF(AND(ISNUMBER(O36),ISNUMBER(D36),D36&gt;0),O36/D36,"")</f>
        <v>0.171717171717172</v>
      </c>
      <c r="Q36" s="9" t="n">
        <v>0</v>
      </c>
      <c r="R36" s="9" t="n">
        <v>0</v>
      </c>
      <c r="S36" s="9" t="n">
        <v>145</v>
      </c>
      <c r="T36" s="11" t="n">
        <f aca="false">IF(AND(ISNUMBER(S36),ISNUMBER(D36),D36&gt;0),S36/D36,"")</f>
        <v>1.46464646464646</v>
      </c>
      <c r="U36" s="10" t="n">
        <v>0.1</v>
      </c>
      <c r="V36" s="10"/>
      <c r="W36" s="10"/>
      <c r="X36" s="10" t="n">
        <v>0.1</v>
      </c>
      <c r="Y36" s="8" t="n">
        <v>0</v>
      </c>
      <c r="Z36" s="8" t="s">
        <v>77</v>
      </c>
      <c r="AA36" s="8" t="n">
        <v>0</v>
      </c>
      <c r="AB36" s="8" t="n">
        <v>0</v>
      </c>
      <c r="AC36" s="11" t="n">
        <f aca="false">IF(AND(ISNUMBER(AA36),ISNUMBER(D36),D36&gt;0),AA36/D36*100,"")</f>
        <v>0</v>
      </c>
      <c r="AD36" s="12"/>
      <c r="AE36" s="8" t="s">
        <v>74</v>
      </c>
      <c r="AF36" s="8" t="s">
        <v>74</v>
      </c>
      <c r="AG36" s="12" t="n">
        <v>261.2</v>
      </c>
      <c r="AH36" s="12" t="n">
        <v>261.2</v>
      </c>
      <c r="AI36" s="12" t="n">
        <v>351.26</v>
      </c>
      <c r="AJ36" s="12" t="n">
        <v>523.61</v>
      </c>
      <c r="AK36" s="8" t="n">
        <v>15</v>
      </c>
      <c r="AL36" s="10" t="n">
        <v>0.25</v>
      </c>
      <c r="AM36" s="8" t="s">
        <v>74</v>
      </c>
      <c r="AN36" s="12" t="n">
        <v>45</v>
      </c>
      <c r="AO36" s="8" t="s">
        <v>77</v>
      </c>
      <c r="AP36" s="8" t="s">
        <v>74</v>
      </c>
      <c r="AQ36" s="10"/>
      <c r="AR36" s="8" t="n">
        <v>3</v>
      </c>
      <c r="AS36" s="8" t="n">
        <v>3</v>
      </c>
      <c r="AT36" s="8" t="n">
        <v>3</v>
      </c>
      <c r="AU36" s="8"/>
      <c r="AV36" s="8"/>
      <c r="AW36" s="8" t="n">
        <v>2</v>
      </c>
      <c r="AX36" s="8" t="n">
        <v>2</v>
      </c>
      <c r="AY36" s="8" t="n">
        <v>3</v>
      </c>
      <c r="AZ36" s="8" t="n">
        <v>2</v>
      </c>
      <c r="BA36" s="8" t="n">
        <v>2</v>
      </c>
      <c r="BB36" s="8" t="n">
        <v>2</v>
      </c>
      <c r="BC36" s="8" t="n">
        <v>2</v>
      </c>
      <c r="BD36" s="8" t="n">
        <v>2</v>
      </c>
      <c r="BE36" s="8" t="n">
        <v>3</v>
      </c>
      <c r="BF36" s="8" t="n">
        <v>2</v>
      </c>
      <c r="BG36" s="8" t="n">
        <v>2</v>
      </c>
      <c r="BH36" s="8" t="n">
        <v>2</v>
      </c>
      <c r="BI36" s="8" t="n">
        <v>2</v>
      </c>
      <c r="BJ36" s="9" t="n">
        <v>17</v>
      </c>
      <c r="BK36" s="9"/>
      <c r="BL36" s="9" t="n">
        <v>2</v>
      </c>
      <c r="BM36" s="9"/>
      <c r="BN36" s="10" t="n">
        <v>0.1</v>
      </c>
      <c r="BO36" s="10" t="n">
        <v>0.4</v>
      </c>
      <c r="BP36" s="10" t="n">
        <f aca="false">IF(AND(ISNUMBER(BN36),ISNUMBER(BO36)),BN36+BO36,"")</f>
        <v>0.5</v>
      </c>
      <c r="BQ36" s="10" t="n">
        <v>0.2</v>
      </c>
      <c r="BR36" s="10" t="n">
        <v>0.4</v>
      </c>
      <c r="BS36" s="10" t="n">
        <v>0</v>
      </c>
    </row>
    <row r="37" customFormat="false" ht="15" hidden="false" customHeight="false" outlineLevel="0" collapsed="false">
      <c r="A37" s="8" t="s">
        <v>114</v>
      </c>
      <c r="B37" s="8" t="s">
        <v>72</v>
      </c>
      <c r="C37" s="8" t="n">
        <v>1</v>
      </c>
      <c r="D37" s="9" t="n">
        <v>1440</v>
      </c>
      <c r="E37" s="9" t="n">
        <v>415</v>
      </c>
      <c r="F37" s="8" t="s">
        <v>81</v>
      </c>
      <c r="G37" s="8" t="s">
        <v>74</v>
      </c>
      <c r="H37" s="10" t="n">
        <v>0</v>
      </c>
      <c r="I37" s="10" t="n">
        <v>0.065</v>
      </c>
      <c r="J37" s="10" t="n">
        <v>0.019</v>
      </c>
      <c r="K37" s="8" t="n">
        <v>0</v>
      </c>
      <c r="L37" s="8" t="n">
        <v>15</v>
      </c>
      <c r="M37" s="10" t="n">
        <v>0.014</v>
      </c>
      <c r="N37" s="8" t="n">
        <v>0</v>
      </c>
      <c r="O37" s="9" t="n">
        <v>187</v>
      </c>
      <c r="P37" s="10" t="n">
        <f aca="false">IF(AND(ISNUMBER(O37),ISNUMBER(D37),D37&gt;0),O37/D37,"")</f>
        <v>0.129861111111111</v>
      </c>
      <c r="Q37" s="9"/>
      <c r="R37" s="9" t="n">
        <v>147</v>
      </c>
      <c r="S37" s="9" t="n">
        <v>1369</v>
      </c>
      <c r="T37" s="11" t="n">
        <f aca="false">IF(AND(ISNUMBER(S37),ISNUMBER(D37),D37&gt;0),S37/D37,"")</f>
        <v>0.950694444444444</v>
      </c>
      <c r="U37" s="10" t="n">
        <v>0.07</v>
      </c>
      <c r="V37" s="10" t="n">
        <v>0.09</v>
      </c>
      <c r="W37" s="10" t="n">
        <v>0.09</v>
      </c>
      <c r="X37" s="10" t="n">
        <v>0.1</v>
      </c>
      <c r="Y37" s="8" t="n">
        <v>0</v>
      </c>
      <c r="Z37" s="8" t="s">
        <v>74</v>
      </c>
      <c r="AA37" s="8" t="n">
        <v>41</v>
      </c>
      <c r="AB37" s="8" t="n">
        <v>1</v>
      </c>
      <c r="AC37" s="11" t="n">
        <f aca="false">IF(AND(ISNUMBER(AA37),ISNUMBER(D37),D37&gt;0),AA37/D37*100,"")</f>
        <v>2.84722222222222</v>
      </c>
      <c r="AD37" s="12" t="n">
        <v>1000</v>
      </c>
      <c r="AE37" s="8" t="s">
        <v>74</v>
      </c>
      <c r="AF37" s="8" t="s">
        <v>77</v>
      </c>
      <c r="AG37" s="12" t="n">
        <v>323.61</v>
      </c>
      <c r="AH37" s="12" t="n">
        <v>374.38</v>
      </c>
      <c r="AI37" s="12" t="n">
        <v>393.1</v>
      </c>
      <c r="AJ37" s="12" t="n">
        <v>412.75</v>
      </c>
      <c r="AK37" s="8" t="n">
        <v>15</v>
      </c>
      <c r="AL37" s="10" t="n">
        <v>0.25</v>
      </c>
      <c r="AM37" s="8" t="s">
        <v>74</v>
      </c>
      <c r="AN37" s="12" t="n">
        <v>22</v>
      </c>
      <c r="AO37" s="8" t="s">
        <v>77</v>
      </c>
      <c r="AP37" s="8" t="s">
        <v>74</v>
      </c>
      <c r="AQ37" s="10" t="n">
        <v>0.85</v>
      </c>
      <c r="AR37" s="8" t="n">
        <v>4</v>
      </c>
      <c r="AS37" s="8" t="n">
        <v>5</v>
      </c>
      <c r="AT37" s="8" t="n">
        <v>1</v>
      </c>
      <c r="AU37" s="8" t="n">
        <v>3</v>
      </c>
      <c r="AV37" s="8" t="n">
        <v>3</v>
      </c>
      <c r="AW37" s="8" t="n">
        <v>3</v>
      </c>
      <c r="AX37" s="8" t="n">
        <v>2</v>
      </c>
      <c r="AY37" s="8" t="n">
        <v>3</v>
      </c>
      <c r="AZ37" s="8" t="n">
        <v>1</v>
      </c>
      <c r="BA37" s="8" t="n">
        <v>2</v>
      </c>
      <c r="BB37" s="8" t="n">
        <v>4</v>
      </c>
      <c r="BC37" s="8" t="n">
        <v>3</v>
      </c>
      <c r="BD37" s="8" t="n">
        <v>4</v>
      </c>
      <c r="BE37" s="8" t="n">
        <v>2</v>
      </c>
      <c r="BF37" s="8" t="n">
        <v>3</v>
      </c>
      <c r="BG37" s="8" t="n">
        <v>1</v>
      </c>
      <c r="BH37" s="8" t="n">
        <v>5</v>
      </c>
      <c r="BI37" s="8" t="n">
        <v>5</v>
      </c>
      <c r="BJ37" s="9" t="n">
        <v>124</v>
      </c>
      <c r="BK37" s="9" t="n">
        <v>49</v>
      </c>
      <c r="BL37" s="9" t="n">
        <v>16</v>
      </c>
      <c r="BM37" s="9" t="n">
        <v>25</v>
      </c>
      <c r="BN37" s="10" t="n">
        <v>0.2</v>
      </c>
      <c r="BO37" s="10" t="n">
        <v>0.2</v>
      </c>
      <c r="BP37" s="10" t="n">
        <f aca="false">IF(AND(ISNUMBER(BN37),ISNUMBER(BO37)),BN37+BO37,"")</f>
        <v>0.4</v>
      </c>
      <c r="BQ37" s="10" t="n">
        <v>0.3</v>
      </c>
      <c r="BR37" s="10" t="n">
        <v>0.2</v>
      </c>
      <c r="BS37" s="10" t="n">
        <v>0.1</v>
      </c>
    </row>
    <row r="38" customFormat="false" ht="15" hidden="false" customHeight="false" outlineLevel="0" collapsed="false">
      <c r="A38" s="8" t="s">
        <v>115</v>
      </c>
      <c r="B38" s="8" t="s">
        <v>72</v>
      </c>
      <c r="C38" s="8" t="n">
        <v>1</v>
      </c>
      <c r="D38" s="9" t="n">
        <v>954</v>
      </c>
      <c r="E38" s="9" t="n">
        <v>500</v>
      </c>
      <c r="F38" s="8" t="s">
        <v>92</v>
      </c>
      <c r="G38" s="8" t="s">
        <v>74</v>
      </c>
      <c r="H38" s="10"/>
      <c r="I38" s="10" t="n">
        <v>0.003</v>
      </c>
      <c r="J38" s="10" t="n">
        <v>0.001</v>
      </c>
      <c r="K38" s="8" t="n">
        <v>0</v>
      </c>
      <c r="L38" s="8" t="n">
        <v>30</v>
      </c>
      <c r="M38" s="10" t="n">
        <v>0.003</v>
      </c>
      <c r="N38" s="8" t="n">
        <v>0</v>
      </c>
      <c r="O38" s="9" t="n">
        <v>20</v>
      </c>
      <c r="P38" s="10" t="n">
        <f aca="false">IF(AND(ISNUMBER(O38),ISNUMBER(D38),D38&gt;0),O38/D38,"")</f>
        <v>0.0209643605870021</v>
      </c>
      <c r="Q38" s="9" t="n">
        <v>24</v>
      </c>
      <c r="R38" s="9" t="n">
        <v>24</v>
      </c>
      <c r="S38" s="9" t="n">
        <v>129</v>
      </c>
      <c r="T38" s="11" t="n">
        <f aca="false">IF(AND(ISNUMBER(S38),ISNUMBER(D38),D38&gt;0),S38/D38,"")</f>
        <v>0.135220125786164</v>
      </c>
      <c r="U38" s="10" t="n">
        <v>0.07</v>
      </c>
      <c r="V38" s="10" t="n">
        <v>0.105</v>
      </c>
      <c r="W38" s="10" t="n">
        <v>0.11</v>
      </c>
      <c r="X38" s="10" t="n">
        <v>0.055</v>
      </c>
      <c r="Y38" s="8" t="n">
        <v>0</v>
      </c>
      <c r="Z38" s="8" t="s">
        <v>74</v>
      </c>
      <c r="AA38" s="8"/>
      <c r="AB38" s="8" t="n">
        <v>0</v>
      </c>
      <c r="AC38" s="11" t="str">
        <f aca="false">IF(AND(ISNUMBER(AA38),ISNUMBER(D38),D38&gt;0),AA38/D38*100,"")</f>
        <v/>
      </c>
      <c r="AD38" s="12"/>
      <c r="AE38" s="8" t="s">
        <v>77</v>
      </c>
      <c r="AF38" s="8" t="s">
        <v>74</v>
      </c>
      <c r="AG38" s="12" t="n">
        <v>326.16</v>
      </c>
      <c r="AH38" s="12" t="n">
        <v>455.5</v>
      </c>
      <c r="AI38" s="12" t="n">
        <v>625.87</v>
      </c>
      <c r="AJ38" s="12" t="n">
        <v>738.66</v>
      </c>
      <c r="AK38" s="8" t="n">
        <v>40</v>
      </c>
      <c r="AL38" s="10" t="n">
        <v>0.9</v>
      </c>
      <c r="AM38" s="8" t="s">
        <v>74</v>
      </c>
      <c r="AN38" s="12"/>
      <c r="AO38" s="8" t="s">
        <v>74</v>
      </c>
      <c r="AP38" s="8" t="s">
        <v>74</v>
      </c>
      <c r="AQ38" s="10" t="n">
        <v>0.3</v>
      </c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9" t="n">
        <v>12</v>
      </c>
      <c r="BK38" s="9"/>
      <c r="BL38" s="9" t="n">
        <v>2</v>
      </c>
      <c r="BM38" s="9" t="n">
        <v>5</v>
      </c>
      <c r="BN38" s="10" t="n">
        <v>0</v>
      </c>
      <c r="BO38" s="10" t="n">
        <v>0</v>
      </c>
      <c r="BP38" s="10" t="n">
        <f aca="false">IF(AND(ISNUMBER(BN38),ISNUMBER(BO38)),BN38+BO38,"")</f>
        <v>0</v>
      </c>
      <c r="BQ38" s="10" t="n">
        <v>0.1</v>
      </c>
      <c r="BR38" s="10" t="n">
        <v>0.6</v>
      </c>
      <c r="BS38" s="10" t="n">
        <v>0.3</v>
      </c>
    </row>
    <row r="39" customFormat="false" ht="15" hidden="false" customHeight="false" outlineLevel="0" collapsed="false">
      <c r="A39" s="8" t="s">
        <v>116</v>
      </c>
      <c r="B39" s="8" t="s">
        <v>72</v>
      </c>
      <c r="C39" s="8" t="n">
        <v>1</v>
      </c>
      <c r="D39" s="9" t="n">
        <v>2896</v>
      </c>
      <c r="E39" s="9" t="n">
        <v>468</v>
      </c>
      <c r="F39" s="8" t="s">
        <v>73</v>
      </c>
      <c r="G39" s="8" t="s">
        <v>74</v>
      </c>
      <c r="H39" s="10" t="n">
        <v>0.1</v>
      </c>
      <c r="I39" s="10" t="n">
        <v>0.02</v>
      </c>
      <c r="J39" s="10" t="n">
        <v>0.015</v>
      </c>
      <c r="K39" s="8" t="n">
        <v>0</v>
      </c>
      <c r="L39" s="8" t="n">
        <v>15</v>
      </c>
      <c r="M39" s="10" t="n">
        <v>0.04</v>
      </c>
      <c r="N39" s="8" t="n">
        <v>0</v>
      </c>
      <c r="O39" s="9" t="n">
        <v>376</v>
      </c>
      <c r="P39" s="10" t="n">
        <f aca="false">IF(AND(ISNUMBER(O39),ISNUMBER(D39),D39&gt;0),O39/D39,"")</f>
        <v>0.129834254143646</v>
      </c>
      <c r="Q39" s="9" t="n">
        <v>436</v>
      </c>
      <c r="R39" s="9" t="n">
        <v>211</v>
      </c>
      <c r="S39" s="9" t="n">
        <v>2434</v>
      </c>
      <c r="T39" s="11" t="n">
        <f aca="false">IF(AND(ISNUMBER(S39),ISNUMBER(D39),D39&gt;0),S39/D39,"")</f>
        <v>0.840469613259669</v>
      </c>
      <c r="U39" s="10" t="n">
        <v>0.06</v>
      </c>
      <c r="V39" s="10" t="n">
        <v>0.1</v>
      </c>
      <c r="W39" s="10" t="n">
        <v>0.06</v>
      </c>
      <c r="X39" s="10"/>
      <c r="Y39" s="8" t="n">
        <v>0</v>
      </c>
      <c r="Z39" s="8" t="s">
        <v>74</v>
      </c>
      <c r="AA39" s="8" t="n">
        <v>41</v>
      </c>
      <c r="AB39" s="8" t="n">
        <v>1</v>
      </c>
      <c r="AC39" s="11" t="n">
        <f aca="false">IF(AND(ISNUMBER(AA39),ISNUMBER(D39),D39&gt;0),AA39/D39*100,"")</f>
        <v>1.41574585635359</v>
      </c>
      <c r="AD39" s="12" t="n">
        <v>580</v>
      </c>
      <c r="AE39" s="8" t="s">
        <v>74</v>
      </c>
      <c r="AF39" s="8" t="s">
        <v>77</v>
      </c>
      <c r="AG39" s="12" t="n">
        <v>329</v>
      </c>
      <c r="AH39" s="12" t="n">
        <v>329</v>
      </c>
      <c r="AI39" s="12" t="n">
        <v>338</v>
      </c>
      <c r="AJ39" s="12" t="n">
        <v>346</v>
      </c>
      <c r="AK39" s="8" t="n">
        <v>20</v>
      </c>
      <c r="AL39" s="10" t="n">
        <v>0.6</v>
      </c>
      <c r="AM39" s="8" t="s">
        <v>77</v>
      </c>
      <c r="AN39" s="12"/>
      <c r="AO39" s="8" t="s">
        <v>74</v>
      </c>
      <c r="AP39" s="8" t="s">
        <v>74</v>
      </c>
      <c r="AQ39" s="10" t="n">
        <v>0.9</v>
      </c>
      <c r="AR39" s="8" t="n">
        <v>3</v>
      </c>
      <c r="AS39" s="8" t="n">
        <v>3</v>
      </c>
      <c r="AT39" s="8"/>
      <c r="AU39" s="8"/>
      <c r="AV39" s="8"/>
      <c r="AW39" s="8"/>
      <c r="AX39" s="8"/>
      <c r="AY39" s="8"/>
      <c r="AZ39" s="8"/>
      <c r="BA39" s="8" t="n">
        <v>3</v>
      </c>
      <c r="BB39" s="8"/>
      <c r="BC39" s="8"/>
      <c r="BD39" s="8"/>
      <c r="BE39" s="8"/>
      <c r="BF39" s="8"/>
      <c r="BG39" s="8"/>
      <c r="BH39" s="8" t="n">
        <v>3</v>
      </c>
      <c r="BI39" s="8" t="n">
        <v>3</v>
      </c>
      <c r="BJ39" s="9" t="n">
        <v>210</v>
      </c>
      <c r="BK39" s="9" t="n">
        <v>9</v>
      </c>
      <c r="BL39" s="9" t="n">
        <v>82</v>
      </c>
      <c r="BM39" s="9" t="n">
        <v>48</v>
      </c>
      <c r="BN39" s="10" t="n">
        <v>0.3</v>
      </c>
      <c r="BO39" s="10" t="n">
        <v>0.3</v>
      </c>
      <c r="BP39" s="10" t="n">
        <f aca="false">IF(AND(ISNUMBER(BN39),ISNUMBER(BO39)),BN39+BO39,"")</f>
        <v>0.6</v>
      </c>
      <c r="BQ39" s="10" t="n">
        <v>0.2</v>
      </c>
      <c r="BR39" s="10" t="n">
        <v>0.1</v>
      </c>
      <c r="BS39" s="10" t="n">
        <v>0.1</v>
      </c>
    </row>
    <row r="40" customFormat="false" ht="15" hidden="false" customHeight="false" outlineLevel="0" collapsed="false">
      <c r="A40" s="8" t="s">
        <v>117</v>
      </c>
      <c r="B40" s="8" t="s">
        <v>72</v>
      </c>
      <c r="C40" s="8" t="n">
        <v>1</v>
      </c>
      <c r="D40" s="9" t="n">
        <v>1175</v>
      </c>
      <c r="E40" s="9" t="n">
        <v>351</v>
      </c>
      <c r="F40" s="8" t="s">
        <v>92</v>
      </c>
      <c r="G40" s="8" t="s">
        <v>74</v>
      </c>
      <c r="H40" s="10" t="n">
        <v>0.8</v>
      </c>
      <c r="I40" s="10"/>
      <c r="J40" s="10" t="n">
        <v>0.032</v>
      </c>
      <c r="K40" s="8" t="n">
        <v>0</v>
      </c>
      <c r="L40" s="8" t="n">
        <v>7</v>
      </c>
      <c r="M40" s="10" t="n">
        <v>0.15</v>
      </c>
      <c r="N40" s="8" t="n">
        <v>1</v>
      </c>
      <c r="O40" s="9" t="n">
        <v>181</v>
      </c>
      <c r="P40" s="10" t="n">
        <f aca="false">IF(AND(ISNUMBER(O40),ISNUMBER(D40),D40&gt;0),O40/D40,"")</f>
        <v>0.154042553191489</v>
      </c>
      <c r="Q40" s="9" t="n">
        <v>309</v>
      </c>
      <c r="R40" s="9" t="n">
        <v>59</v>
      </c>
      <c r="S40" s="9" t="n">
        <v>2626</v>
      </c>
      <c r="T40" s="11" t="n">
        <f aca="false">IF(AND(ISNUMBER(S40),ISNUMBER(D40),D40&gt;0),S40/D40,"")</f>
        <v>2.23489361702128</v>
      </c>
      <c r="U40" s="10" t="n">
        <v>0.058</v>
      </c>
      <c r="V40" s="10" t="n">
        <v>0.095</v>
      </c>
      <c r="W40" s="10" t="n">
        <v>0.11</v>
      </c>
      <c r="X40" s="10" t="n">
        <v>0.065</v>
      </c>
      <c r="Y40" s="8" t="n">
        <v>0</v>
      </c>
      <c r="Z40" s="8" t="s">
        <v>74</v>
      </c>
      <c r="AA40" s="8" t="n">
        <v>23</v>
      </c>
      <c r="AB40" s="8" t="n">
        <v>0</v>
      </c>
      <c r="AC40" s="11" t="n">
        <f aca="false">IF(AND(ISNUMBER(AA40),ISNUMBER(D40),D40&gt;0),AA40/D40*100,"")</f>
        <v>1.95744680851064</v>
      </c>
      <c r="AD40" s="12" t="n">
        <v>4355</v>
      </c>
      <c r="AE40" s="8" t="s">
        <v>74</v>
      </c>
      <c r="AF40" s="8" t="s">
        <v>77</v>
      </c>
      <c r="AG40" s="12" t="n">
        <v>301.05</v>
      </c>
      <c r="AH40" s="12" t="n">
        <v>340.12</v>
      </c>
      <c r="AI40" s="12" t="n">
        <v>510.32</v>
      </c>
      <c r="AJ40" s="12" t="n">
        <v>514.25</v>
      </c>
      <c r="AK40" s="8" t="n">
        <v>26</v>
      </c>
      <c r="AL40" s="10" t="n">
        <v>0.7</v>
      </c>
      <c r="AM40" s="8" t="s">
        <v>74</v>
      </c>
      <c r="AN40" s="12" t="n">
        <v>42</v>
      </c>
      <c r="AO40" s="8" t="s">
        <v>77</v>
      </c>
      <c r="AP40" s="8" t="s">
        <v>74</v>
      </c>
      <c r="AQ40" s="10" t="n">
        <v>0.97</v>
      </c>
      <c r="AR40" s="8" t="n">
        <v>4</v>
      </c>
      <c r="AS40" s="8" t="n">
        <v>0</v>
      </c>
      <c r="AT40" s="8" t="n">
        <v>1</v>
      </c>
      <c r="AU40" s="8" t="n">
        <v>3</v>
      </c>
      <c r="AV40" s="8" t="n">
        <v>2</v>
      </c>
      <c r="AW40" s="8" t="n">
        <v>1</v>
      </c>
      <c r="AX40" s="8" t="n">
        <v>1</v>
      </c>
      <c r="AY40" s="8" t="n">
        <v>2</v>
      </c>
      <c r="AZ40" s="8" t="n">
        <v>1</v>
      </c>
      <c r="BA40" s="8" t="n">
        <v>1</v>
      </c>
      <c r="BB40" s="8" t="n">
        <v>4</v>
      </c>
      <c r="BC40" s="8" t="n">
        <v>4</v>
      </c>
      <c r="BD40" s="8" t="n">
        <v>3</v>
      </c>
      <c r="BE40" s="8" t="n">
        <v>2</v>
      </c>
      <c r="BF40" s="8" t="n">
        <v>2</v>
      </c>
      <c r="BG40" s="8" t="n">
        <v>1</v>
      </c>
      <c r="BH40" s="8" t="n">
        <v>3</v>
      </c>
      <c r="BI40" s="8" t="n">
        <v>5</v>
      </c>
      <c r="BJ40" s="9" t="n">
        <v>66</v>
      </c>
      <c r="BK40" s="9" t="n">
        <v>118</v>
      </c>
      <c r="BL40" s="9"/>
      <c r="BM40" s="9" t="n">
        <v>1</v>
      </c>
      <c r="BN40" s="10" t="n">
        <v>0</v>
      </c>
      <c r="BO40" s="10" t="n">
        <v>0.5</v>
      </c>
      <c r="BP40" s="10" t="n">
        <f aca="false">IF(AND(ISNUMBER(BN40),ISNUMBER(BO40)),BN40+BO40,"")</f>
        <v>0.5</v>
      </c>
      <c r="BQ40" s="10" t="n">
        <v>0.3</v>
      </c>
      <c r="BR40" s="10" t="n">
        <v>0.1</v>
      </c>
      <c r="BS40" s="10" t="n">
        <v>0.1</v>
      </c>
    </row>
    <row r="41" customFormat="false" ht="15" hidden="false" customHeight="false" outlineLevel="0" collapsed="false">
      <c r="A41" s="8" t="s">
        <v>118</v>
      </c>
      <c r="B41" s="8" t="s">
        <v>72</v>
      </c>
      <c r="C41" s="8" t="n">
        <v>1</v>
      </c>
      <c r="D41" s="9" t="n">
        <v>342</v>
      </c>
      <c r="E41" s="9" t="n">
        <v>99</v>
      </c>
      <c r="F41" s="8" t="s">
        <v>73</v>
      </c>
      <c r="G41" s="8" t="s">
        <v>74</v>
      </c>
      <c r="H41" s="10" t="n">
        <v>0.1</v>
      </c>
      <c r="I41" s="10" t="n">
        <v>0.025</v>
      </c>
      <c r="J41" s="10"/>
      <c r="K41" s="8" t="n">
        <v>0</v>
      </c>
      <c r="L41" s="8"/>
      <c r="M41" s="10" t="n">
        <v>0.026</v>
      </c>
      <c r="N41" s="8" t="n">
        <v>0</v>
      </c>
      <c r="O41" s="9" t="n">
        <v>9</v>
      </c>
      <c r="P41" s="10" t="n">
        <f aca="false">IF(AND(ISNUMBER(O41),ISNUMBER(D41),D41&gt;0),O41/D41,"")</f>
        <v>0.0263157894736842</v>
      </c>
      <c r="Q41" s="9" t="n">
        <v>4</v>
      </c>
      <c r="R41" s="9" t="n">
        <v>2</v>
      </c>
      <c r="S41" s="9" t="n">
        <v>24</v>
      </c>
      <c r="T41" s="11" t="n">
        <f aca="false">IF(AND(ISNUMBER(S41),ISNUMBER(D41),D41&gt;0),S41/D41,"")</f>
        <v>0.0701754385964912</v>
      </c>
      <c r="U41" s="10" t="n">
        <v>0.08</v>
      </c>
      <c r="V41" s="10" t="n">
        <v>0.12</v>
      </c>
      <c r="W41" s="10" t="n">
        <v>0.095</v>
      </c>
      <c r="X41" s="10"/>
      <c r="Y41" s="8" t="n">
        <v>0</v>
      </c>
      <c r="Z41" s="8" t="s">
        <v>74</v>
      </c>
      <c r="AA41" s="8" t="n">
        <v>24</v>
      </c>
      <c r="AB41" s="8" t="n">
        <v>0</v>
      </c>
      <c r="AC41" s="11" t="n">
        <f aca="false">IF(AND(ISNUMBER(AA41),ISNUMBER(D41),D41&gt;0),AA41/D41*100,"")</f>
        <v>7.01754385964912</v>
      </c>
      <c r="AD41" s="12" t="n">
        <v>0</v>
      </c>
      <c r="AE41" s="8" t="s">
        <v>77</v>
      </c>
      <c r="AF41" s="8" t="s">
        <v>77</v>
      </c>
      <c r="AG41" s="12" t="n">
        <v>373</v>
      </c>
      <c r="AH41" s="12" t="n">
        <v>393</v>
      </c>
      <c r="AI41" s="12" t="n">
        <v>465</v>
      </c>
      <c r="AJ41" s="12" t="n">
        <v>560</v>
      </c>
      <c r="AK41" s="8" t="n">
        <v>23</v>
      </c>
      <c r="AL41" s="10" t="n">
        <v>0.7</v>
      </c>
      <c r="AM41" s="8" t="s">
        <v>74</v>
      </c>
      <c r="AN41" s="12" t="n">
        <v>34</v>
      </c>
      <c r="AO41" s="8" t="s">
        <v>77</v>
      </c>
      <c r="AP41" s="8" t="s">
        <v>74</v>
      </c>
      <c r="AQ41" s="10" t="n">
        <v>0.8</v>
      </c>
      <c r="AR41" s="8" t="n">
        <v>2</v>
      </c>
      <c r="AS41" s="8" t="n">
        <v>1</v>
      </c>
      <c r="AT41" s="8" t="n">
        <v>1</v>
      </c>
      <c r="AU41" s="8" t="n">
        <v>2</v>
      </c>
      <c r="AV41" s="8" t="n">
        <v>3</v>
      </c>
      <c r="AW41" s="8" t="n">
        <v>2</v>
      </c>
      <c r="AX41" s="8" t="n">
        <v>1</v>
      </c>
      <c r="AY41" s="8" t="n">
        <v>1</v>
      </c>
      <c r="AZ41" s="8" t="n">
        <v>1</v>
      </c>
      <c r="BA41" s="8" t="n">
        <v>1</v>
      </c>
      <c r="BB41" s="8" t="n">
        <v>3</v>
      </c>
      <c r="BC41" s="8" t="n">
        <v>2</v>
      </c>
      <c r="BD41" s="8" t="n">
        <v>1</v>
      </c>
      <c r="BE41" s="8" t="n">
        <v>1</v>
      </c>
      <c r="BF41" s="8" t="n">
        <v>2</v>
      </c>
      <c r="BG41" s="8" t="n">
        <v>2</v>
      </c>
      <c r="BH41" s="8" t="n">
        <v>3</v>
      </c>
      <c r="BI41" s="8" t="n">
        <v>1</v>
      </c>
      <c r="BJ41" s="9" t="n">
        <v>9</v>
      </c>
      <c r="BK41" s="9"/>
      <c r="BL41" s="9"/>
      <c r="BM41" s="9" t="n">
        <v>1</v>
      </c>
      <c r="BN41" s="10"/>
      <c r="BO41" s="10"/>
      <c r="BP41" s="10" t="str">
        <f aca="false">IF(AND(ISNUMBER(BN41),ISNUMBER(BO41)),BN41+BO41,"")</f>
        <v/>
      </c>
      <c r="BQ41" s="10"/>
      <c r="BR41" s="10"/>
      <c r="BS41" s="10"/>
    </row>
    <row r="42" customFormat="false" ht="15" hidden="false" customHeight="false" outlineLevel="0" collapsed="false">
      <c r="A42" s="8" t="s">
        <v>71</v>
      </c>
      <c r="B42" s="8" t="s">
        <v>119</v>
      </c>
      <c r="C42" s="8" t="n">
        <v>2</v>
      </c>
      <c r="D42" s="9" t="n">
        <v>134</v>
      </c>
      <c r="E42" s="9" t="n">
        <v>23</v>
      </c>
      <c r="F42" s="8" t="s">
        <v>73</v>
      </c>
      <c r="G42" s="8" t="s">
        <v>74</v>
      </c>
      <c r="H42" s="10" t="n">
        <v>0.7</v>
      </c>
      <c r="I42" s="10" t="n">
        <v>0.082</v>
      </c>
      <c r="J42" s="10" t="n">
        <v>0.009</v>
      </c>
      <c r="K42" s="8" t="n">
        <v>0</v>
      </c>
      <c r="L42" s="8" t="n">
        <v>15</v>
      </c>
      <c r="M42" s="10" t="n">
        <v>0.02</v>
      </c>
      <c r="N42" s="8" t="n">
        <v>0</v>
      </c>
      <c r="O42" s="9" t="n">
        <v>17</v>
      </c>
      <c r="P42" s="10" t="n">
        <f aca="false">IF(AND(ISNUMBER(O42),ISNUMBER(D42),D42&gt;0),O42/D42,"")</f>
        <v>0.126865671641791</v>
      </c>
      <c r="Q42" s="9" t="n">
        <v>16</v>
      </c>
      <c r="R42" s="9" t="n">
        <v>10</v>
      </c>
      <c r="S42" s="9" t="n">
        <v>84</v>
      </c>
      <c r="T42" s="11" t="n">
        <f aca="false">IF(AND(ISNUMBER(S42),ISNUMBER(D42),D42&gt;0),S42/D42,"")</f>
        <v>0.626865671641791</v>
      </c>
      <c r="U42" s="10" t="n">
        <v>0.05</v>
      </c>
      <c r="V42" s="10" t="n">
        <v>0.15</v>
      </c>
      <c r="W42" s="10" t="n">
        <v>0.08</v>
      </c>
      <c r="X42" s="10" t="n">
        <v>0.1</v>
      </c>
      <c r="Y42" s="8" t="n">
        <v>0</v>
      </c>
      <c r="Z42" s="8" t="s">
        <v>74</v>
      </c>
      <c r="AA42" s="8" t="n">
        <v>15</v>
      </c>
      <c r="AB42" s="8" t="n">
        <v>0</v>
      </c>
      <c r="AC42" s="11" t="n">
        <f aca="false">IF(AND(ISNUMBER(AA42),ISNUMBER(D42),D42&gt;0),AA42/D42*100,"")</f>
        <v>11.1940298507463</v>
      </c>
      <c r="AD42" s="12" t="n">
        <v>3600</v>
      </c>
      <c r="AE42" s="8" t="s">
        <v>74</v>
      </c>
      <c r="AF42" s="8" t="s">
        <v>74</v>
      </c>
      <c r="AG42" s="12" t="n">
        <v>248.93</v>
      </c>
      <c r="AH42" s="12" t="n">
        <v>274.23</v>
      </c>
      <c r="AI42" s="12" t="n">
        <v>305.31</v>
      </c>
      <c r="AJ42" s="12" t="n">
        <v>395.61</v>
      </c>
      <c r="AK42" s="8" t="n">
        <v>16</v>
      </c>
      <c r="AL42" s="10" t="n">
        <v>0.25</v>
      </c>
      <c r="AM42" s="8" t="s">
        <v>74</v>
      </c>
      <c r="AN42" s="12" t="n">
        <v>32</v>
      </c>
      <c r="AO42" s="8" t="s">
        <v>74</v>
      </c>
      <c r="AP42" s="8" t="s">
        <v>74</v>
      </c>
      <c r="AQ42" s="10" t="n">
        <v>0.8</v>
      </c>
      <c r="AR42" s="8" t="n">
        <v>5</v>
      </c>
      <c r="AS42" s="8" t="n">
        <v>3</v>
      </c>
      <c r="AT42" s="8" t="n">
        <v>0</v>
      </c>
      <c r="AU42" s="8" t="n">
        <v>0</v>
      </c>
      <c r="AV42" s="8" t="n">
        <v>0</v>
      </c>
      <c r="AW42" s="8" t="n">
        <v>3</v>
      </c>
      <c r="AX42" s="8" t="n">
        <v>2</v>
      </c>
      <c r="AY42" s="8" t="n">
        <v>2</v>
      </c>
      <c r="AZ42" s="8" t="n">
        <v>4</v>
      </c>
      <c r="BA42" s="8" t="n">
        <v>4</v>
      </c>
      <c r="BB42" s="8" t="n">
        <v>3</v>
      </c>
      <c r="BC42" s="8" t="n">
        <v>5</v>
      </c>
      <c r="BD42" s="8" t="n">
        <v>4</v>
      </c>
      <c r="BE42" s="8" t="n">
        <v>4</v>
      </c>
      <c r="BF42" s="8" t="n">
        <v>4</v>
      </c>
      <c r="BG42" s="8" t="n">
        <v>0</v>
      </c>
      <c r="BH42" s="8" t="n">
        <v>5</v>
      </c>
      <c r="BI42" s="8" t="n">
        <v>5</v>
      </c>
      <c r="BJ42" s="9" t="n">
        <v>4</v>
      </c>
      <c r="BK42" s="9" t="n">
        <v>2</v>
      </c>
      <c r="BL42" s="9" t="n">
        <v>5</v>
      </c>
      <c r="BM42" s="9" t="n">
        <v>1</v>
      </c>
      <c r="BN42" s="10" t="n">
        <v>0.2</v>
      </c>
      <c r="BO42" s="10" t="n">
        <v>0.3</v>
      </c>
      <c r="BP42" s="10" t="n">
        <f aca="false">IF(AND(ISNUMBER(BN42),ISNUMBER(BO42)),BN42+BO42,"")</f>
        <v>0.5</v>
      </c>
      <c r="BQ42" s="10" t="n">
        <v>0.3</v>
      </c>
      <c r="BR42" s="10" t="n">
        <v>0.2</v>
      </c>
      <c r="BS42" s="10" t="n">
        <v>0</v>
      </c>
    </row>
    <row r="43" customFormat="false" ht="15" hidden="false" customHeight="false" outlineLevel="0" collapsed="false">
      <c r="A43" s="8" t="s">
        <v>75</v>
      </c>
      <c r="B43" s="8" t="s">
        <v>119</v>
      </c>
      <c r="C43" s="8" t="n">
        <v>2</v>
      </c>
      <c r="D43" s="9" t="n">
        <v>235</v>
      </c>
      <c r="E43" s="9" t="n">
        <v>129</v>
      </c>
      <c r="F43" s="8" t="s">
        <v>76</v>
      </c>
      <c r="G43" s="8" t="s">
        <v>74</v>
      </c>
      <c r="H43" s="10" t="n">
        <v>0.8</v>
      </c>
      <c r="I43" s="10" t="n">
        <v>0.01</v>
      </c>
      <c r="J43" s="10" t="n">
        <v>0.01</v>
      </c>
      <c r="K43" s="8" t="n">
        <v>0</v>
      </c>
      <c r="L43" s="8"/>
      <c r="M43" s="10" t="n">
        <v>0.015</v>
      </c>
      <c r="N43" s="8" t="n">
        <v>0</v>
      </c>
      <c r="O43" s="9" t="n">
        <v>8</v>
      </c>
      <c r="P43" s="10" t="n">
        <f aca="false">IF(AND(ISNUMBER(O43),ISNUMBER(D43),D43&gt;0),O43/D43,"")</f>
        <v>0.0340425531914894</v>
      </c>
      <c r="Q43" s="9"/>
      <c r="R43" s="9" t="n">
        <v>1</v>
      </c>
      <c r="S43" s="9" t="n">
        <v>14</v>
      </c>
      <c r="T43" s="11" t="n">
        <f aca="false">IF(AND(ISNUMBER(S43),ISNUMBER(D43),D43&gt;0),S43/D43,"")</f>
        <v>0.0595744680851064</v>
      </c>
      <c r="U43" s="10" t="n">
        <v>0.08</v>
      </c>
      <c r="V43" s="10" t="n">
        <v>0.11</v>
      </c>
      <c r="W43" s="10" t="n">
        <v>0.085</v>
      </c>
      <c r="X43" s="10" t="n">
        <v>0.03</v>
      </c>
      <c r="Y43" s="8" t="n">
        <v>0</v>
      </c>
      <c r="Z43" s="8" t="s">
        <v>74</v>
      </c>
      <c r="AA43" s="8" t="n">
        <v>22</v>
      </c>
      <c r="AB43" s="8" t="n">
        <v>0</v>
      </c>
      <c r="AC43" s="11" t="n">
        <f aca="false">IF(AND(ISNUMBER(AA43),ISNUMBER(D43),D43&gt;0),AA43/D43*100,"")</f>
        <v>9.36170212765958</v>
      </c>
      <c r="AD43" s="12" t="n">
        <v>2800</v>
      </c>
      <c r="AE43" s="8" t="s">
        <v>74</v>
      </c>
      <c r="AF43" s="8" t="s">
        <v>77</v>
      </c>
      <c r="AG43" s="12" t="n">
        <v>375</v>
      </c>
      <c r="AH43" s="12" t="n">
        <v>432</v>
      </c>
      <c r="AI43" s="12" t="n">
        <v>491</v>
      </c>
      <c r="AJ43" s="12" t="n">
        <v>740</v>
      </c>
      <c r="AK43" s="8" t="n">
        <v>20</v>
      </c>
      <c r="AL43" s="10" t="n">
        <v>1.5</v>
      </c>
      <c r="AM43" s="8" t="s">
        <v>74</v>
      </c>
      <c r="AN43" s="12" t="n">
        <v>29</v>
      </c>
      <c r="AO43" s="8" t="s">
        <v>77</v>
      </c>
      <c r="AP43" s="8" t="s">
        <v>74</v>
      </c>
      <c r="AQ43" s="10" t="n">
        <v>0.8</v>
      </c>
      <c r="AR43" s="8" t="n">
        <v>2</v>
      </c>
      <c r="AS43" s="8" t="n">
        <v>1</v>
      </c>
      <c r="AT43" s="8" t="n">
        <v>1</v>
      </c>
      <c r="AU43" s="8" t="n">
        <v>1</v>
      </c>
      <c r="AV43" s="8" t="n">
        <v>0</v>
      </c>
      <c r="AW43" s="8" t="n">
        <v>0</v>
      </c>
      <c r="AX43" s="8" t="n">
        <v>1</v>
      </c>
      <c r="AY43" s="8" t="n">
        <v>2</v>
      </c>
      <c r="AZ43" s="8" t="n">
        <v>2</v>
      </c>
      <c r="BA43" s="8" t="n">
        <v>2</v>
      </c>
      <c r="BB43" s="8" t="n">
        <v>1</v>
      </c>
      <c r="BC43" s="8" t="n">
        <v>1</v>
      </c>
      <c r="BD43" s="8" t="n">
        <v>0</v>
      </c>
      <c r="BE43" s="8" t="n">
        <v>1</v>
      </c>
      <c r="BF43" s="8" t="n">
        <v>1</v>
      </c>
      <c r="BG43" s="8" t="n">
        <v>0</v>
      </c>
      <c r="BH43" s="8" t="n">
        <v>1</v>
      </c>
      <c r="BI43" s="8" t="n">
        <v>2</v>
      </c>
      <c r="BJ43" s="9" t="n">
        <v>4</v>
      </c>
      <c r="BK43" s="9" t="n">
        <v>0</v>
      </c>
      <c r="BL43" s="9" t="n">
        <v>0</v>
      </c>
      <c r="BM43" s="9" t="n">
        <v>6</v>
      </c>
      <c r="BN43" s="10" t="n">
        <v>0.1</v>
      </c>
      <c r="BO43" s="10" t="n">
        <v>0.1</v>
      </c>
      <c r="BP43" s="10" t="n">
        <f aca="false">IF(AND(ISNUMBER(BN43),ISNUMBER(BO43)),BN43+BO43,"")</f>
        <v>0.2</v>
      </c>
      <c r="BQ43" s="10" t="n">
        <v>0.3</v>
      </c>
      <c r="BR43" s="10" t="n">
        <v>0.3</v>
      </c>
      <c r="BS43" s="10" t="n">
        <v>0.2</v>
      </c>
    </row>
    <row r="44" customFormat="false" ht="15" hidden="false" customHeight="false" outlineLevel="0" collapsed="false">
      <c r="A44" s="8" t="s">
        <v>78</v>
      </c>
      <c r="B44" s="8" t="s">
        <v>119</v>
      </c>
      <c r="C44" s="8" t="n">
        <v>2</v>
      </c>
      <c r="D44" s="9" t="n">
        <v>95</v>
      </c>
      <c r="E44" s="9" t="n">
        <v>59</v>
      </c>
      <c r="F44" s="8" t="s">
        <v>73</v>
      </c>
      <c r="G44" s="8" t="s">
        <v>74</v>
      </c>
      <c r="H44" s="10" t="n">
        <v>0</v>
      </c>
      <c r="I44" s="10" t="n">
        <v>0.004</v>
      </c>
      <c r="J44" s="10" t="n">
        <v>0.001</v>
      </c>
      <c r="K44" s="8" t="n">
        <v>0</v>
      </c>
      <c r="L44" s="8" t="n">
        <v>15</v>
      </c>
      <c r="M44" s="10" t="n">
        <v>0.001</v>
      </c>
      <c r="N44" s="8" t="n">
        <v>0</v>
      </c>
      <c r="O44" s="9" t="n">
        <v>2</v>
      </c>
      <c r="P44" s="10" t="n">
        <f aca="false">IF(AND(ISNUMBER(O44),ISNUMBER(D44),D44&gt;0),O44/D44,"")</f>
        <v>0.0210526315789474</v>
      </c>
      <c r="Q44" s="9" t="n">
        <v>2</v>
      </c>
      <c r="R44" s="9" t="n">
        <v>1</v>
      </c>
      <c r="S44" s="9" t="n">
        <v>196</v>
      </c>
      <c r="T44" s="11" t="n">
        <f aca="false">IF(AND(ISNUMBER(S44),ISNUMBER(D44),D44&gt;0),S44/D44,"")</f>
        <v>2.06315789473684</v>
      </c>
      <c r="U44" s="10" t="n">
        <v>0.08</v>
      </c>
      <c r="V44" s="10" t="n">
        <v>0.105</v>
      </c>
      <c r="W44" s="10" t="n">
        <v>0.095</v>
      </c>
      <c r="X44" s="10" t="n">
        <v>0.175</v>
      </c>
      <c r="Y44" s="8" t="n">
        <v>0</v>
      </c>
      <c r="Z44" s="8" t="s">
        <v>74</v>
      </c>
      <c r="AA44" s="8" t="n">
        <v>5</v>
      </c>
      <c r="AB44" s="8" t="n">
        <v>0</v>
      </c>
      <c r="AC44" s="11" t="n">
        <f aca="false">IF(AND(ISNUMBER(AA44),ISNUMBER(D44),D44&gt;0),AA44/D44*100,"")</f>
        <v>5.26315789473684</v>
      </c>
      <c r="AD44" s="12" t="n">
        <v>1970</v>
      </c>
      <c r="AE44" s="8" t="s">
        <v>74</v>
      </c>
      <c r="AF44" s="8" t="s">
        <v>74</v>
      </c>
      <c r="AG44" s="12" t="n">
        <v>300</v>
      </c>
      <c r="AH44" s="12" t="n">
        <v>370</v>
      </c>
      <c r="AI44" s="12" t="n">
        <v>400</v>
      </c>
      <c r="AJ44" s="12" t="n">
        <v>600</v>
      </c>
      <c r="AK44" s="8" t="n">
        <v>24</v>
      </c>
      <c r="AL44" s="10" t="n">
        <v>0.45</v>
      </c>
      <c r="AM44" s="8" t="s">
        <v>74</v>
      </c>
      <c r="AN44" s="12" t="n">
        <v>42</v>
      </c>
      <c r="AO44" s="8" t="s">
        <v>77</v>
      </c>
      <c r="AP44" s="8" t="s">
        <v>74</v>
      </c>
      <c r="AQ44" s="10" t="n">
        <v>0.9</v>
      </c>
      <c r="AR44" s="8" t="n">
        <v>3</v>
      </c>
      <c r="AS44" s="8" t="n">
        <v>0</v>
      </c>
      <c r="AT44" s="8" t="n">
        <v>0</v>
      </c>
      <c r="AU44" s="8" t="n">
        <v>1</v>
      </c>
      <c r="AV44" s="8" t="n">
        <v>0</v>
      </c>
      <c r="AW44" s="8" t="n">
        <v>0</v>
      </c>
      <c r="AX44" s="8" t="n">
        <v>0</v>
      </c>
      <c r="AY44" s="8" t="n">
        <v>1</v>
      </c>
      <c r="AZ44" s="8" t="n">
        <v>1</v>
      </c>
      <c r="BA44" s="8" t="n">
        <v>1</v>
      </c>
      <c r="BB44" s="8" t="n">
        <v>3</v>
      </c>
      <c r="BC44" s="8" t="n">
        <v>1</v>
      </c>
      <c r="BD44" s="8" t="n">
        <v>1</v>
      </c>
      <c r="BE44" s="8" t="n">
        <v>0</v>
      </c>
      <c r="BF44" s="8" t="n">
        <v>1</v>
      </c>
      <c r="BG44" s="8" t="n">
        <v>0</v>
      </c>
      <c r="BH44" s="8" t="n">
        <v>1</v>
      </c>
      <c r="BI44" s="8" t="n">
        <v>3</v>
      </c>
      <c r="BJ44" s="9" t="n">
        <v>2</v>
      </c>
      <c r="BK44" s="9" t="n">
        <v>0</v>
      </c>
      <c r="BL44" s="9" t="n">
        <v>0</v>
      </c>
      <c r="BM44" s="9" t="n">
        <v>0</v>
      </c>
      <c r="BN44" s="10" t="n">
        <v>0</v>
      </c>
      <c r="BO44" s="10" t="n">
        <v>0</v>
      </c>
      <c r="BP44" s="10" t="n">
        <f aca="false">IF(AND(ISNUMBER(BN44),ISNUMBER(BO44)),BN44+BO44,"")</f>
        <v>0</v>
      </c>
      <c r="BQ44" s="10" t="n">
        <v>0</v>
      </c>
      <c r="BR44" s="10" t="n">
        <v>1</v>
      </c>
      <c r="BS44" s="10" t="n">
        <v>0</v>
      </c>
    </row>
    <row r="45" customFormat="false" ht="15" hidden="false" customHeight="false" outlineLevel="0" collapsed="false">
      <c r="A45" s="8" t="s">
        <v>79</v>
      </c>
      <c r="B45" s="8" t="s">
        <v>119</v>
      </c>
      <c r="C45" s="8" t="n">
        <v>2</v>
      </c>
      <c r="D45" s="9" t="n">
        <v>12</v>
      </c>
      <c r="E45" s="9" t="n">
        <v>14</v>
      </c>
      <c r="F45" s="8" t="s">
        <v>73</v>
      </c>
      <c r="G45" s="8" t="s">
        <v>77</v>
      </c>
      <c r="H45" s="10" t="n">
        <v>0</v>
      </c>
      <c r="I45" s="10" t="n">
        <v>0.15</v>
      </c>
      <c r="J45" s="10" t="n">
        <v>0.15</v>
      </c>
      <c r="K45" s="8" t="n">
        <v>1</v>
      </c>
      <c r="L45" s="8" t="n">
        <v>20</v>
      </c>
      <c r="M45" s="10"/>
      <c r="N45" s="8" t="n">
        <v>0</v>
      </c>
      <c r="O45" s="9" t="n">
        <v>0</v>
      </c>
      <c r="P45" s="10" t="n">
        <f aca="false">IF(AND(ISNUMBER(O45),ISNUMBER(D45),D45&gt;0),O45/D45,"")</f>
        <v>0</v>
      </c>
      <c r="Q45" s="9" t="n">
        <v>7</v>
      </c>
      <c r="R45" s="9" t="n">
        <v>1</v>
      </c>
      <c r="S45" s="9" t="n">
        <v>0</v>
      </c>
      <c r="T45" s="11" t="n">
        <f aca="false">IF(AND(ISNUMBER(S45),ISNUMBER(D45),D45&gt;0),S45/D45,"")</f>
        <v>0</v>
      </c>
      <c r="U45" s="10"/>
      <c r="V45" s="10" t="n">
        <v>0.09</v>
      </c>
      <c r="W45" s="10" t="n">
        <v>0.03</v>
      </c>
      <c r="X45" s="10"/>
      <c r="Y45" s="8" t="n">
        <v>0</v>
      </c>
      <c r="Z45" s="8" t="s">
        <v>77</v>
      </c>
      <c r="AA45" s="8" t="n">
        <v>0</v>
      </c>
      <c r="AB45" s="8" t="n">
        <v>0</v>
      </c>
      <c r="AC45" s="11" t="n">
        <f aca="false">IF(AND(ISNUMBER(AA45),ISNUMBER(D45),D45&gt;0),AA45/D45*100,"")</f>
        <v>0</v>
      </c>
      <c r="AD45" s="12"/>
      <c r="AE45" s="8" t="s">
        <v>74</v>
      </c>
      <c r="AF45" s="8" t="s">
        <v>77</v>
      </c>
      <c r="AG45" s="12" t="n">
        <v>248.93</v>
      </c>
      <c r="AH45" s="12" t="n">
        <v>248.93</v>
      </c>
      <c r="AI45" s="12" t="n">
        <v>288.11</v>
      </c>
      <c r="AJ45" s="12" t="n">
        <v>325.34</v>
      </c>
      <c r="AK45" s="8" t="n">
        <v>15</v>
      </c>
      <c r="AL45" s="10" t="n">
        <v>1</v>
      </c>
      <c r="AM45" s="8" t="s">
        <v>77</v>
      </c>
      <c r="AN45" s="12"/>
      <c r="AO45" s="8" t="s">
        <v>77</v>
      </c>
      <c r="AP45" s="8" t="s">
        <v>77</v>
      </c>
      <c r="AQ45" s="10"/>
      <c r="AR45" s="8" t="n">
        <v>3</v>
      </c>
      <c r="AS45" s="8" t="n">
        <v>3</v>
      </c>
      <c r="AT45" s="8" t="n">
        <v>3</v>
      </c>
      <c r="AU45" s="8" t="n">
        <v>3</v>
      </c>
      <c r="AV45" s="8" t="n">
        <v>2</v>
      </c>
      <c r="AW45" s="8" t="n">
        <v>0</v>
      </c>
      <c r="AX45" s="8" t="n">
        <v>0</v>
      </c>
      <c r="AY45" s="8" t="n">
        <v>0</v>
      </c>
      <c r="AZ45" s="8" t="n">
        <v>0</v>
      </c>
      <c r="BA45" s="8" t="n">
        <v>0</v>
      </c>
      <c r="BB45" s="8" t="n">
        <v>0</v>
      </c>
      <c r="BC45" s="8" t="n">
        <v>0</v>
      </c>
      <c r="BD45" s="8" t="n">
        <v>0</v>
      </c>
      <c r="BE45" s="8" t="n">
        <v>0</v>
      </c>
      <c r="BF45" s="8" t="n">
        <v>0</v>
      </c>
      <c r="BG45" s="8"/>
      <c r="BH45" s="8" t="n">
        <v>0</v>
      </c>
      <c r="BI45" s="8" t="n">
        <v>0</v>
      </c>
      <c r="BJ45" s="9" t="n">
        <v>1</v>
      </c>
      <c r="BK45" s="9" t="n">
        <v>0</v>
      </c>
      <c r="BL45" s="9" t="n">
        <v>0</v>
      </c>
      <c r="BM45" s="9" t="n">
        <v>0</v>
      </c>
      <c r="BN45" s="10" t="n">
        <v>0</v>
      </c>
      <c r="BO45" s="10" t="n">
        <v>0</v>
      </c>
      <c r="BP45" s="10" t="n">
        <f aca="false">IF(AND(ISNUMBER(BN45),ISNUMBER(BO45)),BN45+BO45,"")</f>
        <v>0</v>
      </c>
      <c r="BQ45" s="10" t="n">
        <v>1</v>
      </c>
      <c r="BR45" s="10" t="n">
        <v>0</v>
      </c>
      <c r="BS45" s="10" t="n">
        <v>0</v>
      </c>
    </row>
    <row r="46" customFormat="false" ht="15" hidden="false" customHeight="false" outlineLevel="0" collapsed="false">
      <c r="A46" s="8" t="s">
        <v>80</v>
      </c>
      <c r="B46" s="8" t="s">
        <v>119</v>
      </c>
      <c r="C46" s="8" t="n">
        <v>2</v>
      </c>
      <c r="D46" s="9" t="n">
        <v>116</v>
      </c>
      <c r="E46" s="9" t="n">
        <v>45</v>
      </c>
      <c r="F46" s="8" t="s">
        <v>81</v>
      </c>
      <c r="G46" s="8" t="s">
        <v>74</v>
      </c>
      <c r="H46" s="10" t="n">
        <v>0</v>
      </c>
      <c r="I46" s="10" t="n">
        <v>0.01</v>
      </c>
      <c r="J46" s="10" t="n">
        <v>0.007</v>
      </c>
      <c r="K46" s="8" t="n">
        <v>0</v>
      </c>
      <c r="L46" s="8" t="n">
        <v>20</v>
      </c>
      <c r="M46" s="10" t="n">
        <v>0.003</v>
      </c>
      <c r="N46" s="8" t="n">
        <v>0</v>
      </c>
      <c r="O46" s="9" t="n">
        <v>4</v>
      </c>
      <c r="P46" s="10" t="n">
        <f aca="false">IF(AND(ISNUMBER(O46),ISNUMBER(D46),D46&gt;0),O46/D46,"")</f>
        <v>0.0344827586206897</v>
      </c>
      <c r="Q46" s="9" t="n">
        <v>9</v>
      </c>
      <c r="R46" s="9" t="n">
        <v>7</v>
      </c>
      <c r="S46" s="9" t="n">
        <v>11</v>
      </c>
      <c r="T46" s="11" t="n">
        <f aca="false">IF(AND(ISNUMBER(S46),ISNUMBER(D46),D46&gt;0),S46/D46,"")</f>
        <v>0.0948275862068966</v>
      </c>
      <c r="U46" s="10" t="n">
        <v>0.087</v>
      </c>
      <c r="V46" s="10" t="n">
        <v>0.09</v>
      </c>
      <c r="W46" s="10" t="n">
        <v>0.06</v>
      </c>
      <c r="X46" s="10" t="n">
        <v>0.045</v>
      </c>
      <c r="Y46" s="8" t="n">
        <v>0</v>
      </c>
      <c r="Z46" s="8" t="s">
        <v>74</v>
      </c>
      <c r="AA46" s="8" t="n">
        <v>11</v>
      </c>
      <c r="AB46" s="8" t="n">
        <v>0</v>
      </c>
      <c r="AC46" s="11" t="n">
        <f aca="false">IF(AND(ISNUMBER(AA46),ISNUMBER(D46),D46&gt;0),AA46/D46*100,"")</f>
        <v>9.48275862068966</v>
      </c>
      <c r="AD46" s="12" t="n">
        <v>1250</v>
      </c>
      <c r="AE46" s="8" t="s">
        <v>74</v>
      </c>
      <c r="AF46" s="8" t="s">
        <v>77</v>
      </c>
      <c r="AG46" s="12" t="n">
        <v>275</v>
      </c>
      <c r="AH46" s="12" t="n">
        <v>295.66</v>
      </c>
      <c r="AI46" s="12" t="n">
        <v>336.35</v>
      </c>
      <c r="AJ46" s="12" t="n">
        <v>374.33</v>
      </c>
      <c r="AK46" s="8" t="n">
        <v>18</v>
      </c>
      <c r="AL46" s="10" t="n">
        <v>0.5</v>
      </c>
      <c r="AM46" s="8" t="s">
        <v>77</v>
      </c>
      <c r="AN46" s="12"/>
      <c r="AO46" s="8" t="s">
        <v>77</v>
      </c>
      <c r="AP46" s="8" t="s">
        <v>74</v>
      </c>
      <c r="AQ46" s="10" t="n">
        <v>0.8</v>
      </c>
      <c r="AR46" s="8" t="n">
        <v>2</v>
      </c>
      <c r="AS46" s="8" t="n">
        <v>1</v>
      </c>
      <c r="AT46" s="8" t="n">
        <v>0</v>
      </c>
      <c r="AU46" s="8" t="n">
        <v>1</v>
      </c>
      <c r="AV46" s="8" t="n">
        <v>2</v>
      </c>
      <c r="AW46" s="8" t="n">
        <v>2</v>
      </c>
      <c r="AX46" s="8" t="n">
        <v>2</v>
      </c>
      <c r="AY46" s="8" t="n">
        <v>1</v>
      </c>
      <c r="AZ46" s="8" t="n">
        <v>2</v>
      </c>
      <c r="BA46" s="8" t="n">
        <v>2</v>
      </c>
      <c r="BB46" s="8" t="n">
        <v>1</v>
      </c>
      <c r="BC46" s="8" t="n">
        <v>3</v>
      </c>
      <c r="BD46" s="8" t="n">
        <v>1</v>
      </c>
      <c r="BE46" s="8" t="n">
        <v>1</v>
      </c>
      <c r="BF46" s="8" t="n">
        <v>1</v>
      </c>
      <c r="BG46" s="8" t="n">
        <v>1</v>
      </c>
      <c r="BH46" s="8" t="n">
        <v>4</v>
      </c>
      <c r="BI46" s="8" t="n">
        <v>1</v>
      </c>
      <c r="BJ46" s="9" t="n">
        <v>2</v>
      </c>
      <c r="BK46" s="9" t="n">
        <v>1</v>
      </c>
      <c r="BL46" s="9" t="n">
        <v>0</v>
      </c>
      <c r="BM46" s="9" t="n">
        <v>1</v>
      </c>
      <c r="BN46" s="10" t="n">
        <v>0</v>
      </c>
      <c r="BO46" s="10" t="n">
        <v>0.2</v>
      </c>
      <c r="BP46" s="10" t="n">
        <f aca="false">IF(AND(ISNUMBER(BN46),ISNUMBER(BO46)),BN46+BO46,"")</f>
        <v>0.2</v>
      </c>
      <c r="BQ46" s="10" t="n">
        <v>0.7</v>
      </c>
      <c r="BR46" s="10" t="n">
        <v>0.1</v>
      </c>
      <c r="BS46" s="10" t="n">
        <v>0</v>
      </c>
    </row>
    <row r="47" customFormat="false" ht="15" hidden="false" customHeight="false" outlineLevel="0" collapsed="false">
      <c r="A47" s="8" t="s">
        <v>82</v>
      </c>
      <c r="B47" s="8" t="s">
        <v>119</v>
      </c>
      <c r="C47" s="8" t="n">
        <v>2</v>
      </c>
      <c r="D47" s="9" t="n">
        <v>218</v>
      </c>
      <c r="E47" s="9" t="n">
        <v>145</v>
      </c>
      <c r="F47" s="8" t="s">
        <v>76</v>
      </c>
      <c r="G47" s="8" t="s">
        <v>74</v>
      </c>
      <c r="H47" s="10" t="n">
        <v>0</v>
      </c>
      <c r="I47" s="10" t="n">
        <v>0.059</v>
      </c>
      <c r="J47" s="10" t="n">
        <v>0.043</v>
      </c>
      <c r="K47" s="8" t="n">
        <v>0</v>
      </c>
      <c r="L47" s="8" t="n">
        <v>5</v>
      </c>
      <c r="M47" s="10" t="n">
        <v>0.15</v>
      </c>
      <c r="N47" s="8" t="n">
        <v>1</v>
      </c>
      <c r="O47" s="9" t="n">
        <v>23</v>
      </c>
      <c r="P47" s="10" t="n">
        <f aca="false">IF(AND(ISNUMBER(O47),ISNUMBER(D47),D47&gt;0),O47/D47,"")</f>
        <v>0.105504587155963</v>
      </c>
      <c r="Q47" s="9" t="n">
        <v>23</v>
      </c>
      <c r="R47" s="9" t="n">
        <v>24</v>
      </c>
      <c r="S47" s="9" t="n">
        <v>128</v>
      </c>
      <c r="T47" s="11" t="n">
        <f aca="false">IF(AND(ISNUMBER(S47),ISNUMBER(D47),D47&gt;0),S47/D47,"")</f>
        <v>0.587155963302752</v>
      </c>
      <c r="U47" s="10" t="n">
        <v>0.12</v>
      </c>
      <c r="V47" s="10" t="n">
        <v>0.12</v>
      </c>
      <c r="W47" s="10" t="n">
        <v>0.1</v>
      </c>
      <c r="X47" s="10" t="n">
        <v>0.02</v>
      </c>
      <c r="Y47" s="8" t="n">
        <v>0</v>
      </c>
      <c r="Z47" s="8" t="s">
        <v>74</v>
      </c>
      <c r="AA47" s="8" t="n">
        <v>5</v>
      </c>
      <c r="AB47" s="8" t="n">
        <v>0</v>
      </c>
      <c r="AC47" s="11" t="n">
        <f aca="false">IF(AND(ISNUMBER(AA47),ISNUMBER(D47),D47&gt;0),AA47/D47*100,"")</f>
        <v>2.29357798165138</v>
      </c>
      <c r="AD47" s="12" t="n">
        <v>858.8</v>
      </c>
      <c r="AE47" s="8" t="s">
        <v>74</v>
      </c>
      <c r="AF47" s="8" t="s">
        <v>77</v>
      </c>
      <c r="AG47" s="12" t="n">
        <v>305.52</v>
      </c>
      <c r="AH47" s="12" t="n">
        <v>334.24</v>
      </c>
      <c r="AI47" s="12" t="n">
        <v>372.57</v>
      </c>
      <c r="AJ47" s="12" t="n">
        <v>406.44</v>
      </c>
      <c r="AK47" s="8" t="n">
        <v>15</v>
      </c>
      <c r="AL47" s="10" t="n">
        <v>0.25</v>
      </c>
      <c r="AM47" s="8" t="s">
        <v>74</v>
      </c>
      <c r="AN47" s="12" t="n">
        <v>75</v>
      </c>
      <c r="AO47" s="8" t="s">
        <v>74</v>
      </c>
      <c r="AP47" s="8" t="s">
        <v>74</v>
      </c>
      <c r="AQ47" s="10" t="n">
        <v>0.7</v>
      </c>
      <c r="AR47" s="8" t="n">
        <v>3</v>
      </c>
      <c r="AS47" s="8" t="n">
        <v>2</v>
      </c>
      <c r="AT47" s="8" t="n">
        <v>1</v>
      </c>
      <c r="AU47" s="8" t="n">
        <v>0</v>
      </c>
      <c r="AV47" s="8" t="n">
        <v>3</v>
      </c>
      <c r="AW47" s="8" t="n">
        <v>4</v>
      </c>
      <c r="AX47" s="8" t="n">
        <v>2</v>
      </c>
      <c r="AY47" s="8" t="n">
        <v>1</v>
      </c>
      <c r="AZ47" s="8" t="n">
        <v>4</v>
      </c>
      <c r="BA47" s="8" t="n">
        <v>2</v>
      </c>
      <c r="BB47" s="8" t="n">
        <v>1</v>
      </c>
      <c r="BC47" s="8" t="n">
        <v>2</v>
      </c>
      <c r="BD47" s="8" t="n">
        <v>1</v>
      </c>
      <c r="BE47" s="8" t="n">
        <v>3</v>
      </c>
      <c r="BF47" s="8" t="n">
        <v>1</v>
      </c>
      <c r="BG47" s="8" t="n">
        <v>0</v>
      </c>
      <c r="BH47" s="8" t="n">
        <v>3</v>
      </c>
      <c r="BI47" s="8" t="n">
        <v>3</v>
      </c>
      <c r="BJ47" s="9" t="n">
        <v>6</v>
      </c>
      <c r="BK47" s="9"/>
      <c r="BL47" s="9" t="n">
        <v>16</v>
      </c>
      <c r="BM47" s="9" t="n">
        <v>5</v>
      </c>
      <c r="BN47" s="10" t="n">
        <v>0</v>
      </c>
      <c r="BO47" s="10" t="n">
        <v>0.5</v>
      </c>
      <c r="BP47" s="10" t="n">
        <f aca="false">IF(AND(ISNUMBER(BN47),ISNUMBER(BO47)),BN47+BO47,"")</f>
        <v>0.5</v>
      </c>
      <c r="BQ47" s="10" t="n">
        <v>0.3</v>
      </c>
      <c r="BR47" s="10" t="n">
        <v>0.1</v>
      </c>
      <c r="BS47" s="10" t="n">
        <v>0.1</v>
      </c>
    </row>
    <row r="48" customFormat="false" ht="15" hidden="false" customHeight="false" outlineLevel="0" collapsed="false">
      <c r="A48" s="8" t="s">
        <v>83</v>
      </c>
      <c r="B48" s="8" t="s">
        <v>119</v>
      </c>
      <c r="C48" s="8" t="n">
        <v>2</v>
      </c>
      <c r="D48" s="9" t="n">
        <v>1466</v>
      </c>
      <c r="E48" s="9" t="n">
        <v>1089</v>
      </c>
      <c r="F48" s="8" t="s">
        <v>76</v>
      </c>
      <c r="G48" s="8" t="s">
        <v>74</v>
      </c>
      <c r="H48" s="10" t="n">
        <v>0.8</v>
      </c>
      <c r="I48" s="10" t="n">
        <v>0.02</v>
      </c>
      <c r="J48" s="10" t="n">
        <v>0.017</v>
      </c>
      <c r="K48" s="8" t="n">
        <v>0</v>
      </c>
      <c r="L48" s="8" t="n">
        <v>30</v>
      </c>
      <c r="M48" s="10" t="n">
        <v>0.005</v>
      </c>
      <c r="N48" s="8" t="n">
        <v>0</v>
      </c>
      <c r="O48" s="9" t="n">
        <v>25</v>
      </c>
      <c r="P48" s="10" t="n">
        <f aca="false">IF(AND(ISNUMBER(O48),ISNUMBER(D48),D48&gt;0),O48/D48,"")</f>
        <v>0.0170532060027285</v>
      </c>
      <c r="Q48" s="9" t="n">
        <v>9</v>
      </c>
      <c r="R48" s="9" t="n">
        <v>9</v>
      </c>
      <c r="S48" s="9" t="n">
        <v>696</v>
      </c>
      <c r="T48" s="11" t="n">
        <f aca="false">IF(AND(ISNUMBER(S48),ISNUMBER(D48),D48&gt;0),S48/D48,"")</f>
        <v>0.474761255115962</v>
      </c>
      <c r="U48" s="10" t="n">
        <v>0.09</v>
      </c>
      <c r="V48" s="10" t="n">
        <v>0.06</v>
      </c>
      <c r="W48" s="10" t="n">
        <v>0.11</v>
      </c>
      <c r="X48" s="10" t="n">
        <v>0.03</v>
      </c>
      <c r="Y48" s="8" t="n">
        <v>0</v>
      </c>
      <c r="Z48" s="8" t="s">
        <v>74</v>
      </c>
      <c r="AA48" s="8" t="n">
        <v>15</v>
      </c>
      <c r="AB48" s="8" t="n">
        <v>0</v>
      </c>
      <c r="AC48" s="11" t="n">
        <f aca="false">IF(AND(ISNUMBER(AA48),ISNUMBER(D48),D48&gt;0),AA48/D48*100,"")</f>
        <v>1.02319236016371</v>
      </c>
      <c r="AD48" s="12" t="n">
        <v>2000</v>
      </c>
      <c r="AE48" s="8" t="s">
        <v>74</v>
      </c>
      <c r="AF48" s="8" t="s">
        <v>77</v>
      </c>
      <c r="AG48" s="12" t="n">
        <v>242.6</v>
      </c>
      <c r="AH48" s="12" t="n">
        <v>291.3</v>
      </c>
      <c r="AI48" s="12" t="n">
        <v>320.85</v>
      </c>
      <c r="AJ48" s="12" t="n">
        <v>651.82</v>
      </c>
      <c r="AK48" s="8" t="n">
        <v>32</v>
      </c>
      <c r="AL48" s="10" t="n">
        <v>0.85</v>
      </c>
      <c r="AM48" s="8" t="s">
        <v>74</v>
      </c>
      <c r="AN48" s="12" t="n">
        <v>13</v>
      </c>
      <c r="AO48" s="8" t="s">
        <v>74</v>
      </c>
      <c r="AP48" s="8" t="s">
        <v>74</v>
      </c>
      <c r="AQ48" s="10" t="n">
        <v>0.64</v>
      </c>
      <c r="AR48" s="8" t="n">
        <v>3</v>
      </c>
      <c r="AS48" s="8" t="n">
        <v>2</v>
      </c>
      <c r="AT48" s="8" t="n">
        <v>1</v>
      </c>
      <c r="AU48" s="8" t="n">
        <v>1</v>
      </c>
      <c r="AV48" s="8" t="n">
        <v>3</v>
      </c>
      <c r="AW48" s="8" t="n">
        <v>1</v>
      </c>
      <c r="AX48" s="8" t="n">
        <v>1</v>
      </c>
      <c r="AY48" s="8" t="n">
        <v>1</v>
      </c>
      <c r="AZ48" s="8" t="n">
        <v>2</v>
      </c>
      <c r="BA48" s="8"/>
      <c r="BB48" s="8" t="n">
        <v>1</v>
      </c>
      <c r="BC48" s="8" t="n">
        <v>1</v>
      </c>
      <c r="BD48" s="8" t="n">
        <v>1</v>
      </c>
      <c r="BE48" s="8" t="n">
        <v>0</v>
      </c>
      <c r="BF48" s="8" t="n">
        <v>2</v>
      </c>
      <c r="BG48" s="8" t="n">
        <v>1</v>
      </c>
      <c r="BH48" s="8" t="n">
        <v>2</v>
      </c>
      <c r="BI48" s="8" t="n">
        <v>3</v>
      </c>
      <c r="BJ48" s="9" t="n">
        <v>18</v>
      </c>
      <c r="BK48" s="9" t="n">
        <v>2</v>
      </c>
      <c r="BL48" s="9" t="n">
        <v>7</v>
      </c>
      <c r="BM48" s="9" t="n">
        <v>3</v>
      </c>
      <c r="BN48" s="10" t="n">
        <v>0.2</v>
      </c>
      <c r="BO48" s="10" t="n">
        <v>0.1</v>
      </c>
      <c r="BP48" s="10" t="n">
        <f aca="false">IF(AND(ISNUMBER(BN48),ISNUMBER(BO48)),BN48+BO48,"")</f>
        <v>0.3</v>
      </c>
      <c r="BQ48" s="10" t="n">
        <v>0.1</v>
      </c>
      <c r="BR48" s="10" t="n">
        <v>0.5</v>
      </c>
      <c r="BS48" s="10" t="n">
        <v>0.1</v>
      </c>
    </row>
    <row r="49" customFormat="false" ht="15" hidden="false" customHeight="false" outlineLevel="0" collapsed="false">
      <c r="A49" s="8" t="s">
        <v>84</v>
      </c>
      <c r="B49" s="8" t="s">
        <v>119</v>
      </c>
      <c r="C49" s="8" t="n">
        <v>2</v>
      </c>
      <c r="D49" s="9" t="n">
        <v>175</v>
      </c>
      <c r="E49" s="9" t="n">
        <v>487</v>
      </c>
      <c r="F49" s="8" t="s">
        <v>76</v>
      </c>
      <c r="G49" s="8" t="s">
        <v>74</v>
      </c>
      <c r="H49" s="10" t="n">
        <v>0.7</v>
      </c>
      <c r="I49" s="10" t="n">
        <v>0.05</v>
      </c>
      <c r="J49" s="10" t="n">
        <v>0.03</v>
      </c>
      <c r="K49" s="8" t="n">
        <v>0</v>
      </c>
      <c r="L49" s="8" t="n">
        <v>10</v>
      </c>
      <c r="M49" s="10" t="n">
        <v>0.011</v>
      </c>
      <c r="N49" s="8" t="n">
        <v>0</v>
      </c>
      <c r="O49" s="9" t="n">
        <v>4</v>
      </c>
      <c r="P49" s="10" t="n">
        <f aca="false">IF(AND(ISNUMBER(O49),ISNUMBER(D49),D49&gt;0),O49/D49,"")</f>
        <v>0.0228571428571429</v>
      </c>
      <c r="Q49" s="9" t="n">
        <v>15</v>
      </c>
      <c r="R49" s="9" t="n">
        <v>13</v>
      </c>
      <c r="S49" s="9" t="n">
        <v>37</v>
      </c>
      <c r="T49" s="11" t="n">
        <f aca="false">IF(AND(ISNUMBER(S49),ISNUMBER(D49),D49&gt;0),S49/D49,"")</f>
        <v>0.211428571428571</v>
      </c>
      <c r="U49" s="10" t="n">
        <v>0.065</v>
      </c>
      <c r="V49" s="10" t="n">
        <v>0.06</v>
      </c>
      <c r="W49" s="10" t="n">
        <v>0.06</v>
      </c>
      <c r="X49" s="10" t="n">
        <v>0.04</v>
      </c>
      <c r="Y49" s="8" t="n">
        <v>0</v>
      </c>
      <c r="Z49" s="8" t="s">
        <v>74</v>
      </c>
      <c r="AA49" s="8" t="n">
        <v>20</v>
      </c>
      <c r="AB49" s="8" t="n">
        <v>0</v>
      </c>
      <c r="AC49" s="11" t="n">
        <f aca="false">IF(AND(ISNUMBER(AA49),ISNUMBER(D49),D49&gt;0),AA49/D49*100,"")</f>
        <v>11.4285714285714</v>
      </c>
      <c r="AD49" s="12" t="n">
        <v>1500</v>
      </c>
      <c r="AE49" s="8" t="s">
        <v>74</v>
      </c>
      <c r="AF49" s="8" t="s">
        <v>77</v>
      </c>
      <c r="AG49" s="12" t="n">
        <v>283</v>
      </c>
      <c r="AH49" s="12" t="n">
        <v>326</v>
      </c>
      <c r="AI49" s="12" t="n">
        <v>356</v>
      </c>
      <c r="AJ49" s="12" t="n">
        <v>388</v>
      </c>
      <c r="AK49" s="8" t="n">
        <v>18</v>
      </c>
      <c r="AL49" s="10" t="n">
        <v>0.25</v>
      </c>
      <c r="AM49" s="8" t="s">
        <v>74</v>
      </c>
      <c r="AN49" s="12" t="n">
        <v>70</v>
      </c>
      <c r="AO49" s="8" t="s">
        <v>74</v>
      </c>
      <c r="AP49" s="8"/>
      <c r="AQ49" s="10" t="n">
        <v>0.95</v>
      </c>
      <c r="AR49" s="8" t="n">
        <v>4</v>
      </c>
      <c r="AS49" s="8" t="n">
        <v>1</v>
      </c>
      <c r="AT49" s="8" t="n">
        <v>1</v>
      </c>
      <c r="AU49" s="8" t="n">
        <v>1</v>
      </c>
      <c r="AV49" s="8" t="n">
        <v>1</v>
      </c>
      <c r="AW49" s="8" t="n">
        <v>4</v>
      </c>
      <c r="AX49" s="8" t="n">
        <v>2</v>
      </c>
      <c r="AY49" s="8" t="n">
        <v>1</v>
      </c>
      <c r="AZ49" s="8" t="n">
        <v>3</v>
      </c>
      <c r="BA49" s="8" t="n">
        <v>4</v>
      </c>
      <c r="BB49" s="8" t="n">
        <v>4</v>
      </c>
      <c r="BC49" s="8" t="n">
        <v>5</v>
      </c>
      <c r="BD49" s="8" t="n">
        <v>1</v>
      </c>
      <c r="BE49" s="8" t="n">
        <v>3</v>
      </c>
      <c r="BF49" s="8" t="n">
        <v>3</v>
      </c>
      <c r="BG49" s="8" t="n">
        <v>1</v>
      </c>
      <c r="BH49" s="8" t="n">
        <v>4</v>
      </c>
      <c r="BI49" s="8" t="n">
        <v>5</v>
      </c>
      <c r="BJ49" s="9" t="n">
        <v>15</v>
      </c>
      <c r="BK49" s="9" t="n">
        <v>0</v>
      </c>
      <c r="BL49" s="9" t="n">
        <v>0</v>
      </c>
      <c r="BM49" s="9" t="n">
        <v>5</v>
      </c>
      <c r="BN49" s="10" t="n">
        <v>0</v>
      </c>
      <c r="BO49" s="10" t="n">
        <v>0</v>
      </c>
      <c r="BP49" s="10" t="n">
        <f aca="false">IF(AND(ISNUMBER(BN49),ISNUMBER(BO49)),BN49+BO49,"")</f>
        <v>0</v>
      </c>
      <c r="BQ49" s="10" t="n">
        <v>0</v>
      </c>
      <c r="BR49" s="10" t="n">
        <v>1</v>
      </c>
      <c r="BS49" s="10" t="n">
        <v>0</v>
      </c>
    </row>
    <row r="50" customFormat="false" ht="15" hidden="false" customHeight="false" outlineLevel="0" collapsed="false">
      <c r="A50" s="8" t="s">
        <v>85</v>
      </c>
      <c r="B50" s="8" t="s">
        <v>119</v>
      </c>
      <c r="C50" s="8" t="n">
        <v>2</v>
      </c>
      <c r="D50" s="9" t="n">
        <v>202</v>
      </c>
      <c r="E50" s="9" t="n">
        <v>91</v>
      </c>
      <c r="F50" s="8" t="s">
        <v>76</v>
      </c>
      <c r="G50" s="8" t="s">
        <v>74</v>
      </c>
      <c r="H50" s="10"/>
      <c r="I50" s="10"/>
      <c r="J50" s="10"/>
      <c r="K50" s="8" t="n">
        <v>0</v>
      </c>
      <c r="L50" s="8" t="n">
        <v>7</v>
      </c>
      <c r="M50" s="10"/>
      <c r="N50" s="8" t="n">
        <v>0</v>
      </c>
      <c r="O50" s="9" t="n">
        <v>15</v>
      </c>
      <c r="P50" s="10" t="n">
        <f aca="false">IF(AND(ISNUMBER(O50),ISNUMBER(D50),D50&gt;0),O50/D50,"")</f>
        <v>0.0742574257425743</v>
      </c>
      <c r="Q50" s="9" t="n">
        <v>8</v>
      </c>
      <c r="R50" s="9" t="n">
        <v>8</v>
      </c>
      <c r="S50" s="9" t="n">
        <v>29</v>
      </c>
      <c r="T50" s="11" t="n">
        <f aca="false">IF(AND(ISNUMBER(S50),ISNUMBER(D50),D50&gt;0),S50/D50,"")</f>
        <v>0.143564356435644</v>
      </c>
      <c r="U50" s="10" t="n">
        <v>0.064</v>
      </c>
      <c r="V50" s="10" t="n">
        <v>0.1</v>
      </c>
      <c r="W50" s="10"/>
      <c r="X50" s="10" t="n">
        <v>0.075</v>
      </c>
      <c r="Y50" s="8" t="n">
        <v>0</v>
      </c>
      <c r="Z50" s="8" t="s">
        <v>74</v>
      </c>
      <c r="AA50" s="8" t="n">
        <v>6</v>
      </c>
      <c r="AB50" s="8" t="n">
        <v>0</v>
      </c>
      <c r="AC50" s="11" t="n">
        <f aca="false">IF(AND(ISNUMBER(AA50),ISNUMBER(D50),D50&gt;0),AA50/D50*100,"")</f>
        <v>2.97029702970297</v>
      </c>
      <c r="AD50" s="12" t="n">
        <v>2528</v>
      </c>
      <c r="AE50" s="8"/>
      <c r="AF50" s="8"/>
      <c r="AG50" s="12" t="n">
        <v>235</v>
      </c>
      <c r="AH50" s="12" t="n">
        <v>294</v>
      </c>
      <c r="AI50" s="12" t="n">
        <v>318</v>
      </c>
      <c r="AJ50" s="12" t="n">
        <v>350</v>
      </c>
      <c r="AK50" s="8" t="n">
        <v>15</v>
      </c>
      <c r="AL50" s="10" t="n">
        <v>1</v>
      </c>
      <c r="AM50" s="8" t="s">
        <v>74</v>
      </c>
      <c r="AN50" s="12" t="n">
        <v>21</v>
      </c>
      <c r="AO50" s="8"/>
      <c r="AP50" s="8"/>
      <c r="AQ50" s="10" t="n">
        <v>0.7</v>
      </c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9" t="n">
        <v>5</v>
      </c>
      <c r="BK50" s="9" t="n">
        <v>3</v>
      </c>
      <c r="BL50" s="9" t="n">
        <v>3</v>
      </c>
      <c r="BM50" s="9" t="n">
        <v>3</v>
      </c>
      <c r="BN50" s="10"/>
      <c r="BO50" s="10"/>
      <c r="BP50" s="10" t="str">
        <f aca="false">IF(AND(ISNUMBER(BN50),ISNUMBER(BO50)),BN50+BO50,"")</f>
        <v/>
      </c>
      <c r="BQ50" s="10"/>
      <c r="BR50" s="10"/>
      <c r="BS50" s="10"/>
    </row>
    <row r="51" customFormat="false" ht="15" hidden="false" customHeight="false" outlineLevel="0" collapsed="false">
      <c r="A51" s="8" t="s">
        <v>86</v>
      </c>
      <c r="B51" s="8" t="s">
        <v>119</v>
      </c>
      <c r="C51" s="8" t="n">
        <v>2</v>
      </c>
      <c r="D51" s="9" t="n">
        <v>355</v>
      </c>
      <c r="E51" s="9" t="n">
        <v>83</v>
      </c>
      <c r="F51" s="8" t="s">
        <v>76</v>
      </c>
      <c r="G51" s="8" t="s">
        <v>77</v>
      </c>
      <c r="H51" s="10"/>
      <c r="I51" s="10" t="n">
        <v>0.03</v>
      </c>
      <c r="J51" s="10" t="n">
        <v>0.134</v>
      </c>
      <c r="K51" s="8" t="n">
        <v>0</v>
      </c>
      <c r="L51" s="8" t="n">
        <v>7</v>
      </c>
      <c r="M51" s="10" t="n">
        <v>0.025</v>
      </c>
      <c r="N51" s="8" t="n">
        <v>0</v>
      </c>
      <c r="O51" s="9" t="n">
        <v>88</v>
      </c>
      <c r="P51" s="10" t="n">
        <f aca="false">IF(AND(ISNUMBER(O51),ISNUMBER(D51),D51&gt;0),O51/D51,"")</f>
        <v>0.247887323943662</v>
      </c>
      <c r="Q51" s="9" t="n">
        <v>105</v>
      </c>
      <c r="R51" s="9" t="n">
        <v>100</v>
      </c>
      <c r="S51" s="9" t="n">
        <v>502</v>
      </c>
      <c r="T51" s="11" t="n">
        <f aca="false">IF(AND(ISNUMBER(S51),ISNUMBER(D51),D51&gt;0),S51/D51,"")</f>
        <v>1.41408450704225</v>
      </c>
      <c r="U51" s="10" t="n">
        <v>0.04</v>
      </c>
      <c r="V51" s="10"/>
      <c r="W51" s="10"/>
      <c r="X51" s="10" t="n">
        <v>0.1</v>
      </c>
      <c r="Y51" s="8" t="n">
        <v>0</v>
      </c>
      <c r="Z51" s="8" t="s">
        <v>74</v>
      </c>
      <c r="AA51" s="8" t="n">
        <v>5</v>
      </c>
      <c r="AB51" s="8" t="n">
        <v>0</v>
      </c>
      <c r="AC51" s="11" t="n">
        <f aca="false">IF(AND(ISNUMBER(AA51),ISNUMBER(D51),D51&gt;0),AA51/D51*100,"")</f>
        <v>1.40845070422535</v>
      </c>
      <c r="AD51" s="12" t="n">
        <v>270</v>
      </c>
      <c r="AE51" s="8" t="s">
        <v>77</v>
      </c>
      <c r="AF51" s="8" t="s">
        <v>77</v>
      </c>
      <c r="AG51" s="12" t="n">
        <v>271.43</v>
      </c>
      <c r="AH51" s="12" t="n">
        <v>288</v>
      </c>
      <c r="AI51" s="12" t="n">
        <v>305</v>
      </c>
      <c r="AJ51" s="12" t="n">
        <v>320</v>
      </c>
      <c r="AK51" s="8" t="n">
        <v>20</v>
      </c>
      <c r="AL51" s="10" t="n">
        <v>0.25</v>
      </c>
      <c r="AM51" s="8" t="s">
        <v>74</v>
      </c>
      <c r="AN51" s="12" t="n">
        <v>33</v>
      </c>
      <c r="AO51" s="8" t="s">
        <v>77</v>
      </c>
      <c r="AP51" s="8" t="s">
        <v>77</v>
      </c>
      <c r="AQ51" s="10" t="n">
        <v>0.9</v>
      </c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9" t="n">
        <v>44</v>
      </c>
      <c r="BK51" s="9" t="n">
        <v>0</v>
      </c>
      <c r="BL51" s="9" t="n">
        <v>42</v>
      </c>
      <c r="BM51" s="9" t="n">
        <v>7</v>
      </c>
      <c r="BN51" s="10" t="n">
        <v>0</v>
      </c>
      <c r="BO51" s="10" t="n">
        <v>1</v>
      </c>
      <c r="BP51" s="10" t="n">
        <f aca="false">IF(AND(ISNUMBER(BN51),ISNUMBER(BO51)),BN51+BO51,"")</f>
        <v>1</v>
      </c>
      <c r="BQ51" s="10" t="n">
        <v>0</v>
      </c>
      <c r="BR51" s="10" t="n">
        <v>0</v>
      </c>
      <c r="BS51" s="10" t="n">
        <v>0</v>
      </c>
    </row>
    <row r="52" customFormat="false" ht="15" hidden="false" customHeight="false" outlineLevel="0" collapsed="false">
      <c r="A52" s="8" t="s">
        <v>87</v>
      </c>
      <c r="B52" s="8" t="s">
        <v>119</v>
      </c>
      <c r="C52" s="8" t="n">
        <v>2</v>
      </c>
      <c r="D52" s="9" t="n">
        <v>166</v>
      </c>
      <c r="E52" s="9" t="n">
        <v>92</v>
      </c>
      <c r="F52" s="8" t="s">
        <v>76</v>
      </c>
      <c r="G52" s="8" t="s">
        <v>74</v>
      </c>
      <c r="H52" s="10" t="n">
        <v>0.3</v>
      </c>
      <c r="I52" s="10" t="n">
        <v>0.05</v>
      </c>
      <c r="J52" s="10" t="n">
        <v>0.017</v>
      </c>
      <c r="K52" s="8" t="n">
        <v>0</v>
      </c>
      <c r="L52" s="8" t="n">
        <v>5</v>
      </c>
      <c r="M52" s="10" t="n">
        <v>0.03</v>
      </c>
      <c r="N52" s="8" t="n">
        <v>0</v>
      </c>
      <c r="O52" s="9" t="n">
        <v>57</v>
      </c>
      <c r="P52" s="10" t="n">
        <f aca="false">IF(AND(ISNUMBER(O52),ISNUMBER(D52),D52&gt;0),O52/D52,"")</f>
        <v>0.343373493975904</v>
      </c>
      <c r="Q52" s="9" t="n">
        <v>53</v>
      </c>
      <c r="R52" s="9" t="n">
        <v>23</v>
      </c>
      <c r="S52" s="9" t="n">
        <v>279</v>
      </c>
      <c r="T52" s="11" t="n">
        <f aca="false">IF(AND(ISNUMBER(S52),ISNUMBER(D52),D52&gt;0),S52/D52,"")</f>
        <v>1.68072289156627</v>
      </c>
      <c r="U52" s="10" t="n">
        <v>0.05</v>
      </c>
      <c r="V52" s="10"/>
      <c r="W52" s="10"/>
      <c r="X52" s="10" t="n">
        <v>0.1</v>
      </c>
      <c r="Y52" s="8" t="n">
        <v>0</v>
      </c>
      <c r="Z52" s="8" t="s">
        <v>74</v>
      </c>
      <c r="AA52" s="8" t="n">
        <v>30</v>
      </c>
      <c r="AB52" s="8" t="n">
        <v>0</v>
      </c>
      <c r="AC52" s="11" t="n">
        <f aca="false">IF(AND(ISNUMBER(AA52),ISNUMBER(D52),D52&gt;0),AA52/D52*100,"")</f>
        <v>18.0722891566265</v>
      </c>
      <c r="AD52" s="12" t="n">
        <v>95</v>
      </c>
      <c r="AE52" s="8" t="s">
        <v>74</v>
      </c>
      <c r="AF52" s="8" t="s">
        <v>74</v>
      </c>
      <c r="AG52" s="12" t="n">
        <v>258</v>
      </c>
      <c r="AH52" s="12" t="n">
        <v>311</v>
      </c>
      <c r="AI52" s="12" t="n">
        <v>348</v>
      </c>
      <c r="AJ52" s="12" t="n">
        <v>441</v>
      </c>
      <c r="AK52" s="8" t="n">
        <v>15</v>
      </c>
      <c r="AL52" s="10" t="n">
        <v>0.25</v>
      </c>
      <c r="AM52" s="8" t="s">
        <v>77</v>
      </c>
      <c r="AN52" s="12"/>
      <c r="AO52" s="8" t="s">
        <v>77</v>
      </c>
      <c r="AP52" s="8" t="s">
        <v>74</v>
      </c>
      <c r="AQ52" s="10" t="n">
        <v>0.85</v>
      </c>
      <c r="AR52" s="8" t="n">
        <v>4</v>
      </c>
      <c r="AS52" s="8" t="n">
        <v>3</v>
      </c>
      <c r="AT52" s="8" t="n">
        <v>2</v>
      </c>
      <c r="AU52" s="8" t="n">
        <v>2</v>
      </c>
      <c r="AV52" s="8" t="n">
        <v>2</v>
      </c>
      <c r="AW52" s="8" t="n">
        <v>0</v>
      </c>
      <c r="AX52" s="8" t="n">
        <v>1</v>
      </c>
      <c r="AY52" s="8" t="n">
        <v>3</v>
      </c>
      <c r="AZ52" s="8" t="n">
        <v>1</v>
      </c>
      <c r="BA52" s="8" t="n">
        <v>2</v>
      </c>
      <c r="BB52" s="8" t="n">
        <v>3</v>
      </c>
      <c r="BC52" s="8" t="n">
        <v>3</v>
      </c>
      <c r="BD52" s="8" t="n">
        <v>0</v>
      </c>
      <c r="BE52" s="8" t="n">
        <v>0</v>
      </c>
      <c r="BF52" s="8" t="n">
        <v>1</v>
      </c>
      <c r="BG52" s="8" t="n">
        <v>0</v>
      </c>
      <c r="BH52" s="8" t="n">
        <v>1</v>
      </c>
      <c r="BI52" s="8" t="n">
        <v>2</v>
      </c>
      <c r="BJ52" s="9" t="n">
        <v>24</v>
      </c>
      <c r="BK52" s="9" t="n">
        <v>30</v>
      </c>
      <c r="BL52" s="9" t="n">
        <v>5</v>
      </c>
      <c r="BM52" s="9" t="n">
        <v>9</v>
      </c>
      <c r="BN52" s="10"/>
      <c r="BO52" s="10"/>
      <c r="BP52" s="10" t="str">
        <f aca="false">IF(AND(ISNUMBER(BN52),ISNUMBER(BO52)),BN52+BO52,"")</f>
        <v/>
      </c>
      <c r="BQ52" s="10"/>
      <c r="BR52" s="10"/>
      <c r="BS52" s="10"/>
    </row>
    <row r="53" customFormat="false" ht="15" hidden="false" customHeight="false" outlineLevel="0" collapsed="false">
      <c r="A53" s="8" t="s">
        <v>88</v>
      </c>
      <c r="B53" s="8" t="s">
        <v>119</v>
      </c>
      <c r="C53" s="8" t="n">
        <v>2</v>
      </c>
      <c r="D53" s="9" t="n">
        <v>63</v>
      </c>
      <c r="E53" s="9" t="n">
        <v>36</v>
      </c>
      <c r="F53" s="8" t="s">
        <v>76</v>
      </c>
      <c r="G53" s="8" t="s">
        <v>77</v>
      </c>
      <c r="H53" s="10" t="n">
        <v>0.1</v>
      </c>
      <c r="I53" s="10" t="n">
        <v>0.052</v>
      </c>
      <c r="J53" s="10" t="n">
        <v>0.15</v>
      </c>
      <c r="K53" s="8" t="n">
        <v>1</v>
      </c>
      <c r="L53" s="8" t="n">
        <v>5</v>
      </c>
      <c r="M53" s="10" t="n">
        <v>0.003</v>
      </c>
      <c r="N53" s="8" t="n">
        <v>0</v>
      </c>
      <c r="O53" s="9" t="n">
        <v>7</v>
      </c>
      <c r="P53" s="10" t="n">
        <f aca="false">IF(AND(ISNUMBER(O53),ISNUMBER(D53),D53&gt;0),O53/D53,"")</f>
        <v>0.111111111111111</v>
      </c>
      <c r="Q53" s="9" t="n">
        <v>9</v>
      </c>
      <c r="R53" s="9" t="n">
        <v>6</v>
      </c>
      <c r="S53" s="9" t="n">
        <v>133</v>
      </c>
      <c r="T53" s="11" t="n">
        <f aca="false">IF(AND(ISNUMBER(S53),ISNUMBER(D53),D53&gt;0),S53/D53,"")</f>
        <v>2.11111111111111</v>
      </c>
      <c r="U53" s="10" t="n">
        <v>0.15</v>
      </c>
      <c r="V53" s="10" t="n">
        <v>0.15</v>
      </c>
      <c r="W53" s="10" t="n">
        <v>0.15</v>
      </c>
      <c r="X53" s="10" t="n">
        <v>0.1</v>
      </c>
      <c r="Y53" s="8" t="n">
        <v>0</v>
      </c>
      <c r="Z53" s="8" t="s">
        <v>77</v>
      </c>
      <c r="AA53" s="8" t="n">
        <v>0</v>
      </c>
      <c r="AB53" s="8" t="n">
        <v>0</v>
      </c>
      <c r="AC53" s="11" t="n">
        <f aca="false">IF(AND(ISNUMBER(AA53),ISNUMBER(D53),D53&gt;0),AA53/D53*100,"")</f>
        <v>0</v>
      </c>
      <c r="AD53" s="12"/>
      <c r="AE53" s="8" t="s">
        <v>74</v>
      </c>
      <c r="AF53" s="8" t="s">
        <v>74</v>
      </c>
      <c r="AG53" s="12" t="n">
        <v>250</v>
      </c>
      <c r="AH53" s="12" t="n">
        <v>270.43</v>
      </c>
      <c r="AI53" s="12" t="n">
        <v>334.14</v>
      </c>
      <c r="AJ53" s="12" t="n">
        <v>378.45</v>
      </c>
      <c r="AK53" s="8" t="n">
        <v>15</v>
      </c>
      <c r="AL53" s="10" t="n">
        <v>0.25</v>
      </c>
      <c r="AM53" s="8" t="s">
        <v>77</v>
      </c>
      <c r="AN53" s="12"/>
      <c r="AO53" s="8" t="s">
        <v>77</v>
      </c>
      <c r="AP53" s="8"/>
      <c r="AQ53" s="10"/>
      <c r="AR53" s="8" t="n">
        <v>5</v>
      </c>
      <c r="AS53" s="8" t="n">
        <v>4</v>
      </c>
      <c r="AT53" s="8" t="n">
        <v>3</v>
      </c>
      <c r="AU53" s="8" t="n">
        <v>5</v>
      </c>
      <c r="AV53" s="8" t="n">
        <v>2</v>
      </c>
      <c r="AW53" s="8" t="n">
        <v>1</v>
      </c>
      <c r="AX53" s="8" t="n">
        <v>1</v>
      </c>
      <c r="AY53" s="8" t="n">
        <v>2</v>
      </c>
      <c r="AZ53" s="8" t="n">
        <v>3</v>
      </c>
      <c r="BA53" s="8" t="n">
        <v>3</v>
      </c>
      <c r="BB53" s="8" t="n">
        <v>3</v>
      </c>
      <c r="BC53" s="8" t="n">
        <v>3</v>
      </c>
      <c r="BD53" s="8" t="n">
        <v>1</v>
      </c>
      <c r="BE53" s="8" t="n">
        <v>3</v>
      </c>
      <c r="BF53" s="8" t="n">
        <v>2</v>
      </c>
      <c r="BG53" s="8" t="n">
        <v>0</v>
      </c>
      <c r="BH53" s="8" t="n">
        <v>0</v>
      </c>
      <c r="BI53" s="8" t="n">
        <v>2</v>
      </c>
      <c r="BJ53" s="9" t="n">
        <v>6</v>
      </c>
      <c r="BK53" s="9"/>
      <c r="BL53" s="9" t="n">
        <v>2</v>
      </c>
      <c r="BM53" s="9"/>
      <c r="BN53" s="10" t="n">
        <v>0</v>
      </c>
      <c r="BO53" s="10" t="n">
        <v>0.7</v>
      </c>
      <c r="BP53" s="10" t="n">
        <f aca="false">IF(AND(ISNUMBER(BN53),ISNUMBER(BO53)),BN53+BO53,"")</f>
        <v>0.7</v>
      </c>
      <c r="BQ53" s="10" t="n">
        <v>0</v>
      </c>
      <c r="BR53" s="10" t="n">
        <v>0.2</v>
      </c>
      <c r="BS53" s="10" t="n">
        <v>0.1</v>
      </c>
    </row>
    <row r="54" customFormat="false" ht="15" hidden="false" customHeight="false" outlineLevel="0" collapsed="false">
      <c r="A54" s="8" t="s">
        <v>89</v>
      </c>
      <c r="B54" s="8" t="s">
        <v>119</v>
      </c>
      <c r="C54" s="8" t="n">
        <v>2</v>
      </c>
      <c r="D54" s="9" t="n">
        <v>674</v>
      </c>
      <c r="E54" s="9" t="n">
        <v>187</v>
      </c>
      <c r="F54" s="8" t="s">
        <v>81</v>
      </c>
      <c r="G54" s="8" t="s">
        <v>74</v>
      </c>
      <c r="H54" s="10" t="n">
        <v>0.5</v>
      </c>
      <c r="I54" s="10" t="n">
        <v>0.032</v>
      </c>
      <c r="J54" s="10" t="n">
        <v>0.004</v>
      </c>
      <c r="K54" s="8" t="n">
        <v>0</v>
      </c>
      <c r="L54" s="8" t="n">
        <v>30</v>
      </c>
      <c r="M54" s="10" t="n">
        <v>0.01</v>
      </c>
      <c r="N54" s="8" t="n">
        <v>0</v>
      </c>
      <c r="O54" s="9" t="n">
        <v>63</v>
      </c>
      <c r="P54" s="10" t="n">
        <f aca="false">IF(AND(ISNUMBER(O54),ISNUMBER(D54),D54&gt;0),O54/D54,"")</f>
        <v>0.0934718100890208</v>
      </c>
      <c r="Q54" s="9" t="n">
        <v>74</v>
      </c>
      <c r="R54" s="9" t="n">
        <v>70</v>
      </c>
      <c r="S54" s="9" t="n">
        <v>438</v>
      </c>
      <c r="T54" s="11" t="n">
        <f aca="false">IF(AND(ISNUMBER(S54),ISNUMBER(D54),D54&gt;0),S54/D54,"")</f>
        <v>0.649851632047478</v>
      </c>
      <c r="U54" s="10" t="n">
        <v>0.07</v>
      </c>
      <c r="V54" s="10" t="n">
        <v>0.055</v>
      </c>
      <c r="W54" s="10" t="n">
        <v>0.06</v>
      </c>
      <c r="X54" s="10" t="n">
        <v>0.1</v>
      </c>
      <c r="Y54" s="8" t="n">
        <v>0</v>
      </c>
      <c r="Z54" s="8" t="s">
        <v>74</v>
      </c>
      <c r="AA54" s="8" t="n">
        <v>12</v>
      </c>
      <c r="AB54" s="8" t="n">
        <v>0</v>
      </c>
      <c r="AC54" s="11" t="n">
        <f aca="false">IF(AND(ISNUMBER(AA54),ISNUMBER(D54),D54&gt;0),AA54/D54*100,"")</f>
        <v>1.78041543026706</v>
      </c>
      <c r="AD54" s="12" t="n">
        <v>1102</v>
      </c>
      <c r="AE54" s="8" t="s">
        <v>74</v>
      </c>
      <c r="AF54" s="8" t="s">
        <v>74</v>
      </c>
      <c r="AG54" s="12" t="n">
        <v>356.18</v>
      </c>
      <c r="AH54" s="12" t="n">
        <v>391.79</v>
      </c>
      <c r="AI54" s="12" t="n">
        <v>463.03</v>
      </c>
      <c r="AJ54" s="12" t="n">
        <v>569.88</v>
      </c>
      <c r="AK54" s="8" t="n">
        <v>16</v>
      </c>
      <c r="AL54" s="10" t="n">
        <v>0.25</v>
      </c>
      <c r="AM54" s="8" t="s">
        <v>77</v>
      </c>
      <c r="AN54" s="12"/>
      <c r="AO54" s="8" t="s">
        <v>74</v>
      </c>
      <c r="AP54" s="8" t="s">
        <v>74</v>
      </c>
      <c r="AQ54" s="10" t="n">
        <v>0.7</v>
      </c>
      <c r="AR54" s="8" t="n">
        <v>4</v>
      </c>
      <c r="AS54" s="8" t="n">
        <v>5</v>
      </c>
      <c r="AT54" s="8" t="n">
        <v>2</v>
      </c>
      <c r="AU54" s="8" t="n">
        <v>3</v>
      </c>
      <c r="AV54" s="8" t="n">
        <v>3</v>
      </c>
      <c r="AW54" s="8" t="n">
        <v>3</v>
      </c>
      <c r="AX54" s="8" t="n">
        <v>1</v>
      </c>
      <c r="AY54" s="8" t="n">
        <v>1</v>
      </c>
      <c r="AZ54" s="8" t="n">
        <v>2</v>
      </c>
      <c r="BA54" s="8" t="n">
        <v>2</v>
      </c>
      <c r="BB54" s="8" t="n">
        <v>3</v>
      </c>
      <c r="BC54" s="8" t="n">
        <v>3</v>
      </c>
      <c r="BD54" s="8" t="n">
        <v>0</v>
      </c>
      <c r="BE54" s="8" t="n">
        <v>0</v>
      </c>
      <c r="BF54" s="8" t="n">
        <v>0</v>
      </c>
      <c r="BG54" s="8" t="n">
        <v>0</v>
      </c>
      <c r="BH54" s="8" t="n">
        <v>2</v>
      </c>
      <c r="BI54" s="8" t="n">
        <v>3</v>
      </c>
      <c r="BJ54" s="9" t="n">
        <v>35</v>
      </c>
      <c r="BK54" s="9" t="n">
        <v>26</v>
      </c>
      <c r="BL54" s="9" t="n">
        <v>3</v>
      </c>
      <c r="BM54" s="9" t="n">
        <v>3</v>
      </c>
      <c r="BN54" s="10" t="n">
        <v>0.2</v>
      </c>
      <c r="BO54" s="10" t="n">
        <v>0.2</v>
      </c>
      <c r="BP54" s="10" t="n">
        <f aca="false">IF(AND(ISNUMBER(BN54),ISNUMBER(BO54)),BN54+BO54,"")</f>
        <v>0.4</v>
      </c>
      <c r="BQ54" s="10" t="n">
        <v>0.4</v>
      </c>
      <c r="BR54" s="10" t="n">
        <v>0.1</v>
      </c>
      <c r="BS54" s="10" t="n">
        <v>0.1</v>
      </c>
    </row>
    <row r="55" customFormat="false" ht="15" hidden="false" customHeight="false" outlineLevel="0" collapsed="false">
      <c r="A55" s="8" t="s">
        <v>90</v>
      </c>
      <c r="B55" s="8" t="s">
        <v>119</v>
      </c>
      <c r="C55" s="8" t="n">
        <v>2</v>
      </c>
      <c r="D55" s="9" t="n">
        <v>242</v>
      </c>
      <c r="E55" s="9" t="n">
        <v>139</v>
      </c>
      <c r="F55" s="8" t="s">
        <v>81</v>
      </c>
      <c r="G55" s="8" t="s">
        <v>74</v>
      </c>
      <c r="H55" s="10" t="n">
        <v>0</v>
      </c>
      <c r="I55" s="10" t="n">
        <v>0.049</v>
      </c>
      <c r="J55" s="10" t="n">
        <v>0.025</v>
      </c>
      <c r="K55" s="8" t="n">
        <v>0</v>
      </c>
      <c r="L55" s="8" t="n">
        <v>10</v>
      </c>
      <c r="M55" s="10" t="n">
        <v>0.01</v>
      </c>
      <c r="N55" s="8" t="n">
        <v>0</v>
      </c>
      <c r="O55" s="9" t="n">
        <v>39</v>
      </c>
      <c r="P55" s="10" t="n">
        <f aca="false">IF(AND(ISNUMBER(O55),ISNUMBER(D55),D55&gt;0),O55/D55,"")</f>
        <v>0.161157024793388</v>
      </c>
      <c r="Q55" s="9" t="n">
        <v>24</v>
      </c>
      <c r="R55" s="9" t="n">
        <v>24</v>
      </c>
      <c r="S55" s="9" t="n">
        <v>318</v>
      </c>
      <c r="T55" s="11" t="n">
        <f aca="false">IF(AND(ISNUMBER(S55),ISNUMBER(D55),D55&gt;0),S55/D55,"")</f>
        <v>1.31404958677686</v>
      </c>
      <c r="U55" s="10" t="n">
        <v>0.07</v>
      </c>
      <c r="V55" s="10" t="n">
        <v>0.12</v>
      </c>
      <c r="W55" s="10" t="n">
        <v>0.06</v>
      </c>
      <c r="X55" s="10" t="n">
        <v>0.13</v>
      </c>
      <c r="Y55" s="8" t="n">
        <v>0</v>
      </c>
      <c r="Z55" s="8" t="s">
        <v>74</v>
      </c>
      <c r="AA55" s="8" t="n">
        <v>18</v>
      </c>
      <c r="AB55" s="8" t="n">
        <v>0</v>
      </c>
      <c r="AC55" s="11" t="n">
        <f aca="false">IF(AND(ISNUMBER(AA55),ISNUMBER(D55),D55&gt;0),AA55/D55*100,"")</f>
        <v>7.43801652892562</v>
      </c>
      <c r="AD55" s="12" t="n">
        <v>2344</v>
      </c>
      <c r="AE55" s="8" t="s">
        <v>77</v>
      </c>
      <c r="AF55" s="8" t="s">
        <v>77</v>
      </c>
      <c r="AG55" s="12" t="n">
        <v>277</v>
      </c>
      <c r="AH55" s="12" t="n">
        <v>324</v>
      </c>
      <c r="AI55" s="12" t="n">
        <v>410</v>
      </c>
      <c r="AJ55" s="12" t="n">
        <v>442</v>
      </c>
      <c r="AK55" s="8" t="n">
        <v>21</v>
      </c>
      <c r="AL55" s="10" t="n">
        <v>0.45</v>
      </c>
      <c r="AM55" s="8" t="s">
        <v>74</v>
      </c>
      <c r="AN55" s="12" t="n">
        <v>41</v>
      </c>
      <c r="AO55" s="8" t="s">
        <v>74</v>
      </c>
      <c r="AP55" s="8" t="s">
        <v>74</v>
      </c>
      <c r="AQ55" s="10" t="n">
        <v>0.95</v>
      </c>
      <c r="AR55" s="8" t="n">
        <v>3</v>
      </c>
      <c r="AS55" s="8" t="n">
        <v>3</v>
      </c>
      <c r="AT55" s="8" t="n">
        <v>1</v>
      </c>
      <c r="AU55" s="8" t="n">
        <v>1</v>
      </c>
      <c r="AV55" s="8" t="n">
        <v>2</v>
      </c>
      <c r="AW55" s="8" t="n">
        <v>1</v>
      </c>
      <c r="AX55" s="8" t="n">
        <v>2</v>
      </c>
      <c r="AY55" s="8" t="n">
        <v>1</v>
      </c>
      <c r="AZ55" s="8" t="n">
        <v>1</v>
      </c>
      <c r="BA55" s="8" t="n">
        <v>1</v>
      </c>
      <c r="BB55" s="8" t="n">
        <v>2</v>
      </c>
      <c r="BC55" s="8" t="n">
        <v>3</v>
      </c>
      <c r="BD55" s="8" t="n">
        <v>0</v>
      </c>
      <c r="BE55" s="8" t="n">
        <v>0</v>
      </c>
      <c r="BF55" s="8" t="n">
        <v>1</v>
      </c>
      <c r="BG55" s="8" t="n">
        <v>1</v>
      </c>
      <c r="BH55" s="8" t="n">
        <v>2</v>
      </c>
      <c r="BI55" s="8" t="n">
        <v>4</v>
      </c>
      <c r="BJ55" s="9" t="n">
        <v>31</v>
      </c>
      <c r="BK55" s="9" t="n">
        <v>10</v>
      </c>
      <c r="BL55" s="9" t="n">
        <v>12</v>
      </c>
      <c r="BM55" s="9" t="n">
        <v>5</v>
      </c>
      <c r="BN55" s="10" t="n">
        <v>0</v>
      </c>
      <c r="BO55" s="10" t="n">
        <v>0.2</v>
      </c>
      <c r="BP55" s="10" t="n">
        <f aca="false">IF(AND(ISNUMBER(BN55),ISNUMBER(BO55)),BN55+BO55,"")</f>
        <v>0.2</v>
      </c>
      <c r="BQ55" s="10" t="n">
        <v>0.5</v>
      </c>
      <c r="BR55" s="10" t="n">
        <v>0.3</v>
      </c>
      <c r="BS55" s="10" t="n">
        <v>0</v>
      </c>
    </row>
    <row r="56" customFormat="false" ht="15" hidden="false" customHeight="false" outlineLevel="0" collapsed="false">
      <c r="A56" s="8" t="s">
        <v>91</v>
      </c>
      <c r="B56" s="8" t="s">
        <v>119</v>
      </c>
      <c r="C56" s="8" t="n">
        <v>2</v>
      </c>
      <c r="D56" s="9" t="n">
        <v>2680</v>
      </c>
      <c r="E56" s="9" t="n">
        <v>2138</v>
      </c>
      <c r="F56" s="8" t="s">
        <v>92</v>
      </c>
      <c r="G56" s="8" t="s">
        <v>74</v>
      </c>
      <c r="H56" s="10" t="n">
        <v>0.1</v>
      </c>
      <c r="I56" s="10" t="n">
        <v>0.059</v>
      </c>
      <c r="J56" s="10" t="n">
        <v>0.15</v>
      </c>
      <c r="K56" s="8" t="n">
        <v>1</v>
      </c>
      <c r="L56" s="8" t="n">
        <v>5</v>
      </c>
      <c r="M56" s="10" t="n">
        <v>0.006</v>
      </c>
      <c r="N56" s="8" t="n">
        <v>0</v>
      </c>
      <c r="O56" s="9" t="n">
        <v>497</v>
      </c>
      <c r="P56" s="10" t="n">
        <f aca="false">IF(AND(ISNUMBER(O56),ISNUMBER(D56),D56&gt;0),O56/D56,"")</f>
        <v>0.18544776119403</v>
      </c>
      <c r="Q56" s="9" t="n">
        <v>686</v>
      </c>
      <c r="R56" s="9" t="n">
        <v>674</v>
      </c>
      <c r="S56" s="9" t="n">
        <v>750</v>
      </c>
      <c r="T56" s="11" t="n">
        <f aca="false">IF(AND(ISNUMBER(S56),ISNUMBER(D56),D56&gt;0),S56/D56,"")</f>
        <v>0.279850746268657</v>
      </c>
      <c r="U56" s="10" t="n">
        <v>0.082</v>
      </c>
      <c r="V56" s="10" t="n">
        <v>0.045</v>
      </c>
      <c r="W56" s="10" t="n">
        <v>0.13</v>
      </c>
      <c r="X56" s="10" t="n">
        <v>0.04</v>
      </c>
      <c r="Y56" s="8" t="n">
        <v>0</v>
      </c>
      <c r="Z56" s="8" t="s">
        <v>74</v>
      </c>
      <c r="AA56" s="8" t="n">
        <v>8</v>
      </c>
      <c r="AB56" s="8" t="n">
        <v>0</v>
      </c>
      <c r="AC56" s="11" t="n">
        <f aca="false">IF(AND(ISNUMBER(AA56),ISNUMBER(D56),D56&gt;0),AA56/D56*100,"")</f>
        <v>0.298507462686567</v>
      </c>
      <c r="AD56" s="12" t="n">
        <v>721</v>
      </c>
      <c r="AE56" s="8" t="s">
        <v>77</v>
      </c>
      <c r="AF56" s="8" t="s">
        <v>74</v>
      </c>
      <c r="AG56" s="12" t="n">
        <v>308.43</v>
      </c>
      <c r="AH56" s="12" t="n">
        <v>347.06</v>
      </c>
      <c r="AI56" s="12" t="n">
        <v>404.14</v>
      </c>
      <c r="AJ56" s="12" t="n">
        <v>742</v>
      </c>
      <c r="AK56" s="8" t="n">
        <v>30</v>
      </c>
      <c r="AL56" s="10" t="n">
        <v>0.6</v>
      </c>
      <c r="AM56" s="8" t="s">
        <v>74</v>
      </c>
      <c r="AN56" s="12" t="n">
        <v>25</v>
      </c>
      <c r="AO56" s="8" t="s">
        <v>74</v>
      </c>
      <c r="AP56" s="8" t="s">
        <v>74</v>
      </c>
      <c r="AQ56" s="10" t="n">
        <v>1</v>
      </c>
      <c r="AR56" s="8" t="n">
        <v>4</v>
      </c>
      <c r="AS56" s="8" t="n">
        <v>2</v>
      </c>
      <c r="AT56" s="8" t="n">
        <v>2</v>
      </c>
      <c r="AU56" s="8" t="n">
        <v>3</v>
      </c>
      <c r="AV56" s="8" t="n">
        <v>3</v>
      </c>
      <c r="AW56" s="8" t="n">
        <v>1</v>
      </c>
      <c r="AX56" s="8" t="n">
        <v>2</v>
      </c>
      <c r="AY56" s="8" t="n">
        <v>2</v>
      </c>
      <c r="AZ56" s="8" t="n">
        <v>1</v>
      </c>
      <c r="BA56" s="8" t="n">
        <v>1</v>
      </c>
      <c r="BB56" s="8" t="n">
        <v>2</v>
      </c>
      <c r="BC56" s="8" t="n">
        <v>1</v>
      </c>
      <c r="BD56" s="8" t="n">
        <v>1</v>
      </c>
      <c r="BE56" s="8" t="n">
        <v>1</v>
      </c>
      <c r="BF56" s="8" t="n">
        <v>1</v>
      </c>
      <c r="BG56" s="8" t="n">
        <v>0</v>
      </c>
      <c r="BH56" s="8" t="n">
        <v>2</v>
      </c>
      <c r="BI56" s="8" t="n">
        <v>1</v>
      </c>
      <c r="BJ56" s="9" t="n">
        <v>215</v>
      </c>
      <c r="BK56" s="9" t="n">
        <v>330</v>
      </c>
      <c r="BL56" s="9" t="n">
        <v>24</v>
      </c>
      <c r="BM56" s="9" t="n">
        <v>60</v>
      </c>
      <c r="BN56" s="10" t="n">
        <v>0.2</v>
      </c>
      <c r="BO56" s="10" t="n">
        <v>0.2</v>
      </c>
      <c r="BP56" s="10" t="n">
        <f aca="false">IF(AND(ISNUMBER(BN56),ISNUMBER(BO56)),BN56+BO56,"")</f>
        <v>0.4</v>
      </c>
      <c r="BQ56" s="10" t="n">
        <v>0.1</v>
      </c>
      <c r="BR56" s="10" t="n">
        <v>0.1</v>
      </c>
      <c r="BS56" s="10" t="n">
        <v>0.2</v>
      </c>
    </row>
    <row r="57" customFormat="false" ht="15" hidden="false" customHeight="false" outlineLevel="0" collapsed="false">
      <c r="A57" s="8" t="s">
        <v>93</v>
      </c>
      <c r="B57" s="8" t="s">
        <v>119</v>
      </c>
      <c r="C57" s="8" t="n">
        <v>2</v>
      </c>
      <c r="D57" s="9" t="n">
        <v>101</v>
      </c>
      <c r="E57" s="9" t="n">
        <v>92</v>
      </c>
      <c r="F57" s="8" t="s">
        <v>94</v>
      </c>
      <c r="G57" s="8" t="s">
        <v>74</v>
      </c>
      <c r="H57" s="10" t="n">
        <v>0.9</v>
      </c>
      <c r="I57" s="10" t="n">
        <v>0.15</v>
      </c>
      <c r="J57" s="10" t="n">
        <v>0.01</v>
      </c>
      <c r="K57" s="8" t="n">
        <v>0</v>
      </c>
      <c r="L57" s="8" t="n">
        <v>50</v>
      </c>
      <c r="M57" s="10" t="n">
        <v>0.01</v>
      </c>
      <c r="N57" s="8" t="n">
        <v>0</v>
      </c>
      <c r="O57" s="9" t="n">
        <v>16</v>
      </c>
      <c r="P57" s="10" t="n">
        <f aca="false">IF(AND(ISNUMBER(O57),ISNUMBER(D57),D57&gt;0),O57/D57,"")</f>
        <v>0.158415841584158</v>
      </c>
      <c r="Q57" s="9" t="n">
        <v>24</v>
      </c>
      <c r="R57" s="9" t="n">
        <v>24</v>
      </c>
      <c r="S57" s="9" t="n">
        <v>71</v>
      </c>
      <c r="T57" s="11" t="n">
        <f aca="false">IF(AND(ISNUMBER(S57),ISNUMBER(D57),D57&gt;0),S57/D57,"")</f>
        <v>0.702970297029703</v>
      </c>
      <c r="U57" s="10" t="n">
        <v>0.1</v>
      </c>
      <c r="V57" s="10" t="n">
        <v>0.09</v>
      </c>
      <c r="W57" s="10" t="n">
        <v>0.065</v>
      </c>
      <c r="X57" s="10" t="n">
        <v>0.1</v>
      </c>
      <c r="Y57" s="8" t="n">
        <v>0</v>
      </c>
      <c r="Z57" s="8" t="s">
        <v>74</v>
      </c>
      <c r="AA57" s="8" t="n">
        <v>16</v>
      </c>
      <c r="AB57" s="8" t="n">
        <v>0</v>
      </c>
      <c r="AC57" s="11" t="n">
        <f aca="false">IF(AND(ISNUMBER(AA57),ISNUMBER(D57),D57&gt;0),AA57/D57*100,"")</f>
        <v>15.8415841584158</v>
      </c>
      <c r="AD57" s="12" t="n">
        <v>2824.5</v>
      </c>
      <c r="AE57" s="8" t="s">
        <v>77</v>
      </c>
      <c r="AF57" s="8" t="s">
        <v>74</v>
      </c>
      <c r="AG57" s="12" t="n">
        <v>273.82</v>
      </c>
      <c r="AH57" s="12" t="n">
        <v>328.9</v>
      </c>
      <c r="AI57" s="12" t="n">
        <v>378.07</v>
      </c>
      <c r="AJ57" s="12" t="n">
        <v>435.05</v>
      </c>
      <c r="AK57" s="8" t="n">
        <v>15</v>
      </c>
      <c r="AL57" s="10" t="n">
        <v>0.25</v>
      </c>
      <c r="AM57" s="8" t="s">
        <v>74</v>
      </c>
      <c r="AN57" s="12" t="n">
        <v>65</v>
      </c>
      <c r="AO57" s="8" t="s">
        <v>77</v>
      </c>
      <c r="AP57" s="8" t="s">
        <v>74</v>
      </c>
      <c r="AQ57" s="10" t="n">
        <v>0.85</v>
      </c>
      <c r="AR57" s="8" t="n">
        <v>4</v>
      </c>
      <c r="AS57" s="8" t="n">
        <v>4</v>
      </c>
      <c r="AT57" s="8" t="n">
        <v>1</v>
      </c>
      <c r="AU57" s="8" t="n">
        <v>1</v>
      </c>
      <c r="AV57" s="8" t="n">
        <v>2</v>
      </c>
      <c r="AW57" s="8" t="n">
        <v>0</v>
      </c>
      <c r="AX57" s="8" t="n">
        <v>2</v>
      </c>
      <c r="AY57" s="8" t="n">
        <v>1</v>
      </c>
      <c r="AZ57" s="8" t="n">
        <v>1</v>
      </c>
      <c r="BA57" s="8" t="n">
        <v>1</v>
      </c>
      <c r="BB57" s="8" t="n">
        <v>2</v>
      </c>
      <c r="BC57" s="8" t="n">
        <v>1</v>
      </c>
      <c r="BD57" s="8" t="n">
        <v>1</v>
      </c>
      <c r="BE57" s="8" t="n">
        <v>2</v>
      </c>
      <c r="BF57" s="8" t="n">
        <v>0</v>
      </c>
      <c r="BG57" s="8" t="n">
        <v>0</v>
      </c>
      <c r="BH57" s="8" t="n">
        <v>1</v>
      </c>
      <c r="BI57" s="8" t="n">
        <v>0</v>
      </c>
      <c r="BJ57" s="9" t="n">
        <v>8</v>
      </c>
      <c r="BK57" s="9" t="n">
        <v>7</v>
      </c>
      <c r="BL57" s="9"/>
      <c r="BM57" s="9" t="n">
        <v>3</v>
      </c>
      <c r="BN57" s="10" t="n">
        <v>0.1</v>
      </c>
      <c r="BO57" s="10" t="n">
        <v>0.2</v>
      </c>
      <c r="BP57" s="10" t="n">
        <f aca="false">IF(AND(ISNUMBER(BN57),ISNUMBER(BO57)),BN57+BO57,"")</f>
        <v>0.3</v>
      </c>
      <c r="BQ57" s="10" t="n">
        <v>0.2</v>
      </c>
      <c r="BR57" s="10" t="n">
        <v>0.5</v>
      </c>
      <c r="BS57" s="10" t="n">
        <v>0</v>
      </c>
    </row>
    <row r="58" customFormat="false" ht="15" hidden="false" customHeight="false" outlineLevel="0" collapsed="false">
      <c r="A58" s="8" t="s">
        <v>95</v>
      </c>
      <c r="B58" s="8" t="s">
        <v>119</v>
      </c>
      <c r="C58" s="8" t="n">
        <v>2</v>
      </c>
      <c r="D58" s="9" t="n">
        <v>19</v>
      </c>
      <c r="E58" s="9" t="n">
        <v>17</v>
      </c>
      <c r="F58" s="8" t="s">
        <v>81</v>
      </c>
      <c r="G58" s="8" t="s">
        <v>77</v>
      </c>
      <c r="H58" s="10" t="n">
        <v>0.1</v>
      </c>
      <c r="I58" s="10" t="n">
        <v>0.001</v>
      </c>
      <c r="J58" s="10" t="n">
        <v>0.001</v>
      </c>
      <c r="K58" s="8" t="n">
        <v>0</v>
      </c>
      <c r="L58" s="8"/>
      <c r="M58" s="10" t="n">
        <v>0.001</v>
      </c>
      <c r="N58" s="8" t="n">
        <v>0</v>
      </c>
      <c r="O58" s="9" t="n">
        <v>0</v>
      </c>
      <c r="P58" s="10" t="n">
        <f aca="false">IF(AND(ISNUMBER(O58),ISNUMBER(D58),D58&gt;0),O58/D58,"")</f>
        <v>0</v>
      </c>
      <c r="Q58" s="9" t="n">
        <v>0</v>
      </c>
      <c r="R58" s="9" t="n">
        <v>0</v>
      </c>
      <c r="S58" s="9" t="n">
        <v>0</v>
      </c>
      <c r="T58" s="11" t="n">
        <f aca="false">IF(AND(ISNUMBER(S58),ISNUMBER(D58),D58&gt;0),S58/D58,"")</f>
        <v>0</v>
      </c>
      <c r="U58" s="10" t="n">
        <v>0.08</v>
      </c>
      <c r="V58" s="10" t="n">
        <v>0.1</v>
      </c>
      <c r="W58" s="10"/>
      <c r="X58" s="10" t="n">
        <v>0.1</v>
      </c>
      <c r="Y58" s="8" t="n">
        <v>0</v>
      </c>
      <c r="Z58" s="8" t="s">
        <v>77</v>
      </c>
      <c r="AA58" s="8" t="n">
        <v>0</v>
      </c>
      <c r="AB58" s="8" t="n">
        <v>0</v>
      </c>
      <c r="AC58" s="11" t="n">
        <f aca="false">IF(AND(ISNUMBER(AA58),ISNUMBER(D58),D58&gt;0),AA58/D58*100,"")</f>
        <v>0</v>
      </c>
      <c r="AD58" s="12"/>
      <c r="AE58" s="8" t="s">
        <v>74</v>
      </c>
      <c r="AF58" s="8" t="s">
        <v>77</v>
      </c>
      <c r="AG58" s="12" t="n">
        <v>258</v>
      </c>
      <c r="AH58" s="12" t="n">
        <v>285</v>
      </c>
      <c r="AI58" s="12" t="n">
        <v>350</v>
      </c>
      <c r="AJ58" s="12" t="n">
        <v>614.28</v>
      </c>
      <c r="AK58" s="8" t="n">
        <v>15</v>
      </c>
      <c r="AL58" s="10" t="n">
        <v>0.25</v>
      </c>
      <c r="AM58" s="8" t="s">
        <v>77</v>
      </c>
      <c r="AN58" s="12"/>
      <c r="AO58" s="8" t="s">
        <v>77</v>
      </c>
      <c r="AP58" s="8"/>
      <c r="AQ58" s="10"/>
      <c r="AR58" s="8" t="n">
        <v>3</v>
      </c>
      <c r="AS58" s="8" t="n">
        <v>2</v>
      </c>
      <c r="AT58" s="8" t="n">
        <v>0</v>
      </c>
      <c r="AU58" s="8" t="n">
        <v>1</v>
      </c>
      <c r="AV58" s="8" t="n">
        <v>0</v>
      </c>
      <c r="AW58" s="8" t="n">
        <v>0</v>
      </c>
      <c r="AX58" s="8" t="n">
        <v>0</v>
      </c>
      <c r="AY58" s="8" t="n">
        <v>1</v>
      </c>
      <c r="AZ58" s="8" t="n">
        <v>0</v>
      </c>
      <c r="BA58" s="8" t="n">
        <v>0</v>
      </c>
      <c r="BB58" s="8" t="n">
        <v>0</v>
      </c>
      <c r="BC58" s="8" t="n">
        <v>0</v>
      </c>
      <c r="BD58" s="8" t="n">
        <v>0</v>
      </c>
      <c r="BE58" s="8" t="n">
        <v>1</v>
      </c>
      <c r="BF58" s="8" t="n">
        <v>0</v>
      </c>
      <c r="BG58" s="8" t="n">
        <v>0</v>
      </c>
      <c r="BH58" s="8" t="n">
        <v>1</v>
      </c>
      <c r="BI58" s="8" t="n">
        <v>0</v>
      </c>
      <c r="BJ58" s="9" t="n">
        <v>0</v>
      </c>
      <c r="BK58" s="9" t="n">
        <v>0</v>
      </c>
      <c r="BL58" s="9"/>
      <c r="BM58" s="9"/>
      <c r="BN58" s="10" t="n">
        <v>0</v>
      </c>
      <c r="BO58" s="10" t="n">
        <v>0.3</v>
      </c>
      <c r="BP58" s="10" t="n">
        <f aca="false">IF(AND(ISNUMBER(BN58),ISNUMBER(BO58)),BN58+BO58,"")</f>
        <v>0.3</v>
      </c>
      <c r="BQ58" s="10" t="n">
        <v>0.7</v>
      </c>
      <c r="BR58" s="10" t="n">
        <v>0</v>
      </c>
      <c r="BS58" s="10" t="n">
        <v>0</v>
      </c>
    </row>
    <row r="59" customFormat="false" ht="15" hidden="false" customHeight="false" outlineLevel="0" collapsed="false">
      <c r="A59" s="8" t="s">
        <v>96</v>
      </c>
      <c r="B59" s="8" t="s">
        <v>119</v>
      </c>
      <c r="C59" s="8" t="n">
        <v>2</v>
      </c>
      <c r="D59" s="9" t="n">
        <v>636</v>
      </c>
      <c r="E59" s="9" t="n">
        <v>125</v>
      </c>
      <c r="F59" s="8" t="s">
        <v>76</v>
      </c>
      <c r="G59" s="8" t="s">
        <v>74</v>
      </c>
      <c r="H59" s="10" t="n">
        <v>0.2</v>
      </c>
      <c r="I59" s="10" t="n">
        <v>0.085</v>
      </c>
      <c r="J59" s="10" t="n">
        <v>0.015</v>
      </c>
      <c r="K59" s="8" t="n">
        <v>0</v>
      </c>
      <c r="L59" s="8" t="n">
        <v>7</v>
      </c>
      <c r="M59" s="10" t="n">
        <v>0.018</v>
      </c>
      <c r="N59" s="8" t="n">
        <v>0</v>
      </c>
      <c r="O59" s="9" t="n">
        <v>117</v>
      </c>
      <c r="P59" s="10" t="n">
        <f aca="false">IF(AND(ISNUMBER(O59),ISNUMBER(D59),D59&gt;0),O59/D59,"")</f>
        <v>0.183962264150943</v>
      </c>
      <c r="Q59" s="9" t="n">
        <v>100</v>
      </c>
      <c r="R59" s="9" t="n">
        <v>194</v>
      </c>
      <c r="S59" s="9" t="n">
        <v>402</v>
      </c>
      <c r="T59" s="11" t="n">
        <f aca="false">IF(AND(ISNUMBER(S59),ISNUMBER(D59),D59&gt;0),S59/D59,"")</f>
        <v>0.632075471698113</v>
      </c>
      <c r="U59" s="10"/>
      <c r="V59" s="10" t="n">
        <v>0.1</v>
      </c>
      <c r="W59" s="10" t="n">
        <v>0.05</v>
      </c>
      <c r="X59" s="10" t="n">
        <v>0.01</v>
      </c>
      <c r="Y59" s="8" t="n">
        <v>0</v>
      </c>
      <c r="Z59" s="8" t="s">
        <v>74</v>
      </c>
      <c r="AA59" s="8" t="n">
        <v>17</v>
      </c>
      <c r="AB59" s="8" t="n">
        <v>0</v>
      </c>
      <c r="AC59" s="11" t="n">
        <f aca="false">IF(AND(ISNUMBER(AA59),ISNUMBER(D59),D59&gt;0),AA59/D59*100,"")</f>
        <v>2.67295597484277</v>
      </c>
      <c r="AD59" s="12" t="n">
        <v>450</v>
      </c>
      <c r="AE59" s="8" t="s">
        <v>74</v>
      </c>
      <c r="AF59" s="8" t="s">
        <v>77</v>
      </c>
      <c r="AG59" s="12" t="n">
        <v>340.75</v>
      </c>
      <c r="AH59" s="12" t="n">
        <v>444.86</v>
      </c>
      <c r="AI59" s="12" t="n">
        <v>619.49</v>
      </c>
      <c r="AJ59" s="12" t="n">
        <v>684.19</v>
      </c>
      <c r="AK59" s="8" t="n">
        <v>19</v>
      </c>
      <c r="AL59" s="10" t="n">
        <v>0.55</v>
      </c>
      <c r="AM59" s="8" t="s">
        <v>74</v>
      </c>
      <c r="AN59" s="12" t="n">
        <v>50</v>
      </c>
      <c r="AO59" s="8" t="s">
        <v>77</v>
      </c>
      <c r="AP59" s="8" t="s">
        <v>74</v>
      </c>
      <c r="AQ59" s="10" t="n">
        <v>0.9</v>
      </c>
      <c r="AR59" s="8" t="n">
        <v>3</v>
      </c>
      <c r="AS59" s="8" t="n">
        <v>2</v>
      </c>
      <c r="AT59" s="8" t="n">
        <v>1</v>
      </c>
      <c r="AU59" s="8" t="n">
        <v>3</v>
      </c>
      <c r="AV59" s="8" t="n">
        <v>0</v>
      </c>
      <c r="AW59" s="8" t="n">
        <v>1</v>
      </c>
      <c r="AX59" s="8" t="n">
        <v>0</v>
      </c>
      <c r="AY59" s="8" t="n">
        <v>0</v>
      </c>
      <c r="AZ59" s="8" t="n">
        <v>2</v>
      </c>
      <c r="BA59" s="8" t="n">
        <v>0</v>
      </c>
      <c r="BB59" s="8" t="n">
        <v>2</v>
      </c>
      <c r="BC59" s="8" t="n">
        <v>3</v>
      </c>
      <c r="BD59" s="8" t="n">
        <v>2</v>
      </c>
      <c r="BE59" s="8" t="n">
        <v>1</v>
      </c>
      <c r="BF59" s="8" t="n">
        <v>1</v>
      </c>
      <c r="BG59" s="8" t="n">
        <v>0</v>
      </c>
      <c r="BH59" s="8" t="n">
        <v>3</v>
      </c>
      <c r="BI59" s="8" t="n">
        <v>3</v>
      </c>
      <c r="BJ59" s="9" t="n">
        <v>70</v>
      </c>
      <c r="BK59" s="9" t="n">
        <v>15</v>
      </c>
      <c r="BL59" s="9" t="n">
        <v>10</v>
      </c>
      <c r="BM59" s="9" t="n">
        <v>5</v>
      </c>
      <c r="BN59" s="10" t="n">
        <v>0.6</v>
      </c>
      <c r="BO59" s="10" t="n">
        <v>0.2</v>
      </c>
      <c r="BP59" s="10" t="n">
        <f aca="false">IF(AND(ISNUMBER(BN59),ISNUMBER(BO59)),BN59+BO59,"")</f>
        <v>0.8</v>
      </c>
      <c r="BQ59" s="10" t="n">
        <v>0.1</v>
      </c>
      <c r="BR59" s="10" t="n">
        <v>0.1</v>
      </c>
      <c r="BS59" s="10" t="n">
        <v>0</v>
      </c>
    </row>
    <row r="60" customFormat="false" ht="15" hidden="false" customHeight="false" outlineLevel="0" collapsed="false">
      <c r="A60" s="8" t="s">
        <v>97</v>
      </c>
      <c r="B60" s="8" t="s">
        <v>119</v>
      </c>
      <c r="C60" s="8" t="n">
        <v>2</v>
      </c>
      <c r="D60" s="9" t="n">
        <v>585</v>
      </c>
      <c r="E60" s="9" t="n">
        <v>455</v>
      </c>
      <c r="F60" s="8" t="s">
        <v>76</v>
      </c>
      <c r="G60" s="8" t="s">
        <v>74</v>
      </c>
      <c r="H60" s="10" t="n">
        <v>0</v>
      </c>
      <c r="I60" s="10" t="n">
        <v>0.007</v>
      </c>
      <c r="J60" s="10" t="n">
        <v>0.001</v>
      </c>
      <c r="K60" s="8" t="n">
        <v>0</v>
      </c>
      <c r="L60" s="8" t="n">
        <v>20</v>
      </c>
      <c r="M60" s="10"/>
      <c r="N60" s="8" t="n">
        <v>0</v>
      </c>
      <c r="O60" s="9" t="n">
        <v>15</v>
      </c>
      <c r="P60" s="10" t="n">
        <f aca="false">IF(AND(ISNUMBER(O60),ISNUMBER(D60),D60&gt;0),O60/D60,"")</f>
        <v>0.0256410256410256</v>
      </c>
      <c r="Q60" s="9" t="n">
        <v>48</v>
      </c>
      <c r="R60" s="9" t="n">
        <v>27</v>
      </c>
      <c r="S60" s="9" t="n">
        <v>100</v>
      </c>
      <c r="T60" s="11" t="n">
        <f aca="false">IF(AND(ISNUMBER(S60),ISNUMBER(D60),D60&gt;0),S60/D60,"")</f>
        <v>0.170940170940171</v>
      </c>
      <c r="U60" s="10" t="n">
        <v>0.05</v>
      </c>
      <c r="V60" s="10" t="n">
        <v>0.105</v>
      </c>
      <c r="W60" s="10" t="n">
        <v>0.13</v>
      </c>
      <c r="X60" s="10"/>
      <c r="Y60" s="8" t="n">
        <v>0</v>
      </c>
      <c r="Z60" s="8" t="s">
        <v>77</v>
      </c>
      <c r="AA60" s="8" t="n">
        <v>0</v>
      </c>
      <c r="AB60" s="8" t="n">
        <v>0</v>
      </c>
      <c r="AC60" s="11" t="n">
        <f aca="false">IF(AND(ISNUMBER(AA60),ISNUMBER(D60),D60&gt;0),AA60/D60*100,"")</f>
        <v>0</v>
      </c>
      <c r="AD60" s="12"/>
      <c r="AE60" s="8" t="s">
        <v>77</v>
      </c>
      <c r="AF60" s="8" t="s">
        <v>77</v>
      </c>
      <c r="AG60" s="12" t="n">
        <v>449.17</v>
      </c>
      <c r="AH60" s="12" t="n">
        <v>544.47</v>
      </c>
      <c r="AI60" s="12" t="n">
        <v>707.79</v>
      </c>
      <c r="AJ60" s="12" t="n">
        <v>884.7</v>
      </c>
      <c r="AK60" s="8" t="n">
        <v>25</v>
      </c>
      <c r="AL60" s="10" t="n">
        <v>0.7</v>
      </c>
      <c r="AM60" s="8" t="s">
        <v>74</v>
      </c>
      <c r="AN60" s="12" t="n">
        <v>47</v>
      </c>
      <c r="AO60" s="8" t="s">
        <v>77</v>
      </c>
      <c r="AP60" s="8" t="s">
        <v>74</v>
      </c>
      <c r="AQ60" s="10"/>
      <c r="AR60" s="8" t="n">
        <v>4</v>
      </c>
      <c r="AS60" s="8" t="n">
        <v>1</v>
      </c>
      <c r="AT60" s="8" t="n">
        <v>0</v>
      </c>
      <c r="AU60" s="8" t="n">
        <v>0</v>
      </c>
      <c r="AV60" s="8" t="n">
        <v>0</v>
      </c>
      <c r="AW60" s="8" t="n">
        <v>0</v>
      </c>
      <c r="AX60" s="8" t="n">
        <v>1</v>
      </c>
      <c r="AY60" s="8" t="n">
        <v>1</v>
      </c>
      <c r="AZ60" s="8" t="n">
        <v>2</v>
      </c>
      <c r="BA60" s="8" t="n">
        <v>1</v>
      </c>
      <c r="BB60" s="8" t="n">
        <v>0</v>
      </c>
      <c r="BC60" s="8" t="n">
        <v>0</v>
      </c>
      <c r="BD60" s="8" t="n">
        <v>0</v>
      </c>
      <c r="BE60" s="8" t="n">
        <v>0</v>
      </c>
      <c r="BF60" s="8" t="n">
        <v>0</v>
      </c>
      <c r="BG60" s="8" t="n">
        <v>0</v>
      </c>
      <c r="BH60" s="8" t="n">
        <v>0</v>
      </c>
      <c r="BI60" s="8" t="n">
        <v>2</v>
      </c>
      <c r="BJ60" s="9" t="n">
        <v>12</v>
      </c>
      <c r="BK60" s="9" t="n">
        <v>0</v>
      </c>
      <c r="BL60" s="9" t="n">
        <v>0</v>
      </c>
      <c r="BM60" s="9" t="n">
        <v>2</v>
      </c>
      <c r="BN60" s="10" t="n">
        <v>0</v>
      </c>
      <c r="BO60" s="10" t="n">
        <v>0</v>
      </c>
      <c r="BP60" s="10" t="n">
        <f aca="false">IF(AND(ISNUMBER(BN60),ISNUMBER(BO60)),BN60+BO60,"")</f>
        <v>0</v>
      </c>
      <c r="BQ60" s="10" t="n">
        <v>0.5</v>
      </c>
      <c r="BR60" s="10" t="n">
        <v>0.3</v>
      </c>
      <c r="BS60" s="10" t="n">
        <v>0.2</v>
      </c>
    </row>
    <row r="61" customFormat="false" ht="15" hidden="false" customHeight="false" outlineLevel="0" collapsed="false">
      <c r="A61" s="8" t="s">
        <v>98</v>
      </c>
      <c r="B61" s="8" t="s">
        <v>119</v>
      </c>
      <c r="C61" s="8" t="n">
        <v>2</v>
      </c>
      <c r="D61" s="9" t="n">
        <v>3252</v>
      </c>
      <c r="E61" s="9" t="n">
        <v>978</v>
      </c>
      <c r="F61" s="8" t="s">
        <v>73</v>
      </c>
      <c r="G61" s="8" t="s">
        <v>74</v>
      </c>
      <c r="H61" s="10" t="n">
        <v>0.3</v>
      </c>
      <c r="I61" s="10" t="n">
        <v>0.017</v>
      </c>
      <c r="J61" s="10" t="n">
        <v>0.007</v>
      </c>
      <c r="K61" s="8" t="n">
        <v>0</v>
      </c>
      <c r="L61" s="8" t="n">
        <v>4</v>
      </c>
      <c r="M61" s="10" t="n">
        <v>0.076</v>
      </c>
      <c r="N61" s="8" t="n">
        <v>0</v>
      </c>
      <c r="O61" s="9" t="n">
        <v>583</v>
      </c>
      <c r="P61" s="10" t="n">
        <f aca="false">IF(AND(ISNUMBER(O61),ISNUMBER(D61),D61&gt;0),O61/D61,"")</f>
        <v>0.179274292742927</v>
      </c>
      <c r="Q61" s="9" t="n">
        <v>691</v>
      </c>
      <c r="R61" s="9" t="n">
        <v>691</v>
      </c>
      <c r="S61" s="9" t="n">
        <v>1862</v>
      </c>
      <c r="T61" s="11" t="n">
        <f aca="false">IF(AND(ISNUMBER(S61),ISNUMBER(D61),D61&gt;0),S61/D61,"")</f>
        <v>0.572570725707257</v>
      </c>
      <c r="U61" s="10" t="n">
        <v>0.07</v>
      </c>
      <c r="V61" s="10" t="n">
        <v>0.08</v>
      </c>
      <c r="W61" s="10" t="n">
        <v>0.06</v>
      </c>
      <c r="X61" s="10"/>
      <c r="Y61" s="8" t="n">
        <v>0</v>
      </c>
      <c r="Z61" s="8" t="s">
        <v>74</v>
      </c>
      <c r="AA61" s="8" t="n">
        <v>41</v>
      </c>
      <c r="AB61" s="8" t="n">
        <v>1</v>
      </c>
      <c r="AC61" s="11" t="n">
        <f aca="false">IF(AND(ISNUMBER(AA61),ISNUMBER(D61),D61&gt;0),AA61/D61*100,"")</f>
        <v>1.26076260762608</v>
      </c>
      <c r="AD61" s="12" t="n">
        <v>1136</v>
      </c>
      <c r="AE61" s="8" t="s">
        <v>74</v>
      </c>
      <c r="AF61" s="8" t="s">
        <v>74</v>
      </c>
      <c r="AG61" s="12" t="n">
        <v>250</v>
      </c>
      <c r="AH61" s="12" t="n">
        <v>278.59</v>
      </c>
      <c r="AI61" s="12" t="n">
        <v>349.26</v>
      </c>
      <c r="AJ61" s="12" t="n">
        <v>407.89</v>
      </c>
      <c r="AK61" s="8" t="n">
        <v>18</v>
      </c>
      <c r="AL61" s="10" t="n">
        <v>0.6</v>
      </c>
      <c r="AM61" s="8" t="s">
        <v>74</v>
      </c>
      <c r="AN61" s="12" t="n">
        <v>29</v>
      </c>
      <c r="AO61" s="8" t="s">
        <v>77</v>
      </c>
      <c r="AP61" s="8" t="s">
        <v>74</v>
      </c>
      <c r="AQ61" s="10" t="n">
        <v>0.8</v>
      </c>
      <c r="AR61" s="8" t="n">
        <v>2</v>
      </c>
      <c r="AS61" s="8" t="n">
        <v>1</v>
      </c>
      <c r="AT61" s="8" t="n">
        <v>0</v>
      </c>
      <c r="AU61" s="8" t="n">
        <v>2</v>
      </c>
      <c r="AV61" s="8" t="n">
        <v>1</v>
      </c>
      <c r="AW61" s="8" t="n">
        <v>1</v>
      </c>
      <c r="AX61" s="8" t="n">
        <v>2</v>
      </c>
      <c r="AY61" s="8" t="n">
        <v>2</v>
      </c>
      <c r="AZ61" s="8" t="n">
        <v>2</v>
      </c>
      <c r="BA61" s="8" t="n">
        <v>0</v>
      </c>
      <c r="BB61" s="8" t="n">
        <v>3</v>
      </c>
      <c r="BC61" s="8" t="n">
        <v>3</v>
      </c>
      <c r="BD61" s="8" t="n">
        <v>2</v>
      </c>
      <c r="BE61" s="8" t="n">
        <v>1</v>
      </c>
      <c r="BF61" s="8" t="n">
        <v>1</v>
      </c>
      <c r="BG61" s="8" t="n">
        <v>0</v>
      </c>
      <c r="BH61" s="8" t="n">
        <v>4</v>
      </c>
      <c r="BI61" s="8" t="n">
        <v>4</v>
      </c>
      <c r="BJ61" s="9" t="n">
        <v>95</v>
      </c>
      <c r="BK61" s="9" t="n">
        <v>3</v>
      </c>
      <c r="BL61" s="9" t="n">
        <v>498</v>
      </c>
      <c r="BM61" s="9" t="n">
        <v>46</v>
      </c>
      <c r="BN61" s="10" t="n">
        <v>0.4</v>
      </c>
      <c r="BO61" s="10" t="n">
        <v>0.3</v>
      </c>
      <c r="BP61" s="10" t="n">
        <f aca="false">IF(AND(ISNUMBER(BN61),ISNUMBER(BO61)),BN61+BO61,"")</f>
        <v>0.7</v>
      </c>
      <c r="BQ61" s="10" t="n">
        <v>0.2</v>
      </c>
      <c r="BR61" s="10" t="n">
        <v>0.1</v>
      </c>
      <c r="BS61" s="10" t="n">
        <v>0</v>
      </c>
    </row>
    <row r="62" customFormat="false" ht="15" hidden="false" customHeight="false" outlineLevel="0" collapsed="false">
      <c r="A62" s="8" t="s">
        <v>99</v>
      </c>
      <c r="B62" s="8" t="s">
        <v>119</v>
      </c>
      <c r="C62" s="8" t="n">
        <v>2</v>
      </c>
      <c r="D62" s="9" t="n">
        <v>64</v>
      </c>
      <c r="E62" s="9" t="n">
        <v>88</v>
      </c>
      <c r="F62" s="8" t="s">
        <v>92</v>
      </c>
      <c r="G62" s="8" t="s">
        <v>74</v>
      </c>
      <c r="H62" s="10" t="n">
        <v>0</v>
      </c>
      <c r="I62" s="10" t="n">
        <v>0.013</v>
      </c>
      <c r="J62" s="10" t="n">
        <v>0.014</v>
      </c>
      <c r="K62" s="8" t="n">
        <v>0</v>
      </c>
      <c r="L62" s="8" t="n">
        <v>15</v>
      </c>
      <c r="M62" s="10" t="n">
        <v>0.009</v>
      </c>
      <c r="N62" s="8" t="n">
        <v>0</v>
      </c>
      <c r="O62" s="9" t="n">
        <v>1</v>
      </c>
      <c r="P62" s="10" t="n">
        <f aca="false">IF(AND(ISNUMBER(O62),ISNUMBER(D62),D62&gt;0),O62/D62,"")</f>
        <v>0.015625</v>
      </c>
      <c r="Q62" s="9" t="n">
        <v>0</v>
      </c>
      <c r="R62" s="9" t="n">
        <v>0</v>
      </c>
      <c r="S62" s="9" t="n">
        <v>7</v>
      </c>
      <c r="T62" s="11" t="n">
        <f aca="false">IF(AND(ISNUMBER(S62),ISNUMBER(D62),D62&gt;0),S62/D62,"")</f>
        <v>0.109375</v>
      </c>
      <c r="U62" s="10" t="n">
        <v>0.08</v>
      </c>
      <c r="V62" s="10" t="n">
        <v>0.13</v>
      </c>
      <c r="W62" s="10" t="n">
        <v>0.12</v>
      </c>
      <c r="X62" s="10" t="n">
        <v>0.01</v>
      </c>
      <c r="Y62" s="8" t="n">
        <v>0</v>
      </c>
      <c r="Z62" s="8" t="s">
        <v>77</v>
      </c>
      <c r="AA62" s="8" t="n">
        <v>0</v>
      </c>
      <c r="AB62" s="8" t="n">
        <v>0</v>
      </c>
      <c r="AC62" s="11" t="n">
        <f aca="false">IF(AND(ISNUMBER(AA62),ISNUMBER(D62),D62&gt;0),AA62/D62*100,"")</f>
        <v>0</v>
      </c>
      <c r="AD62" s="12"/>
      <c r="AE62" s="8" t="s">
        <v>74</v>
      </c>
      <c r="AF62" s="8" t="s">
        <v>77</v>
      </c>
      <c r="AG62" s="12" t="n">
        <v>301</v>
      </c>
      <c r="AH62" s="12" t="n">
        <v>356.47</v>
      </c>
      <c r="AI62" s="12" t="n">
        <v>455</v>
      </c>
      <c r="AJ62" s="12" t="n">
        <v>502</v>
      </c>
      <c r="AK62" s="8" t="n">
        <v>29</v>
      </c>
      <c r="AL62" s="10" t="n">
        <v>1.3</v>
      </c>
      <c r="AM62" s="8" t="s">
        <v>77</v>
      </c>
      <c r="AN62" s="12"/>
      <c r="AO62" s="8" t="s">
        <v>74</v>
      </c>
      <c r="AP62" s="8" t="s">
        <v>74</v>
      </c>
      <c r="AQ62" s="10"/>
      <c r="AR62" s="8" t="n">
        <v>3</v>
      </c>
      <c r="AS62" s="8" t="n">
        <v>0</v>
      </c>
      <c r="AT62" s="8" t="n">
        <v>3</v>
      </c>
      <c r="AU62" s="8" t="n">
        <v>3</v>
      </c>
      <c r="AV62" s="8" t="n">
        <v>4</v>
      </c>
      <c r="AW62" s="8" t="n">
        <v>5</v>
      </c>
      <c r="AX62" s="8" t="n">
        <v>1</v>
      </c>
      <c r="AY62" s="8" t="n">
        <v>2</v>
      </c>
      <c r="AZ62" s="8" t="n">
        <v>5</v>
      </c>
      <c r="BA62" s="8" t="n">
        <v>4</v>
      </c>
      <c r="BB62" s="8" t="n">
        <v>3</v>
      </c>
      <c r="BC62" s="8" t="n">
        <v>5</v>
      </c>
      <c r="BD62" s="8" t="n">
        <v>1</v>
      </c>
      <c r="BE62" s="8" t="n">
        <v>1</v>
      </c>
      <c r="BF62" s="8" t="n">
        <v>3</v>
      </c>
      <c r="BG62" s="8" t="n">
        <v>3</v>
      </c>
      <c r="BH62" s="8" t="n">
        <v>4</v>
      </c>
      <c r="BI62" s="8" t="n">
        <v>3</v>
      </c>
      <c r="BJ62" s="9" t="n">
        <v>1</v>
      </c>
      <c r="BK62" s="9" t="n">
        <v>0</v>
      </c>
      <c r="BL62" s="9" t="n">
        <v>0</v>
      </c>
      <c r="BM62" s="9" t="n">
        <v>0</v>
      </c>
      <c r="BN62" s="10" t="n">
        <v>0.2</v>
      </c>
      <c r="BO62" s="10" t="n">
        <v>0.3</v>
      </c>
      <c r="BP62" s="10" t="n">
        <f aca="false">IF(AND(ISNUMBER(BN62),ISNUMBER(BO62)),BN62+BO62,"")</f>
        <v>0.5</v>
      </c>
      <c r="BQ62" s="10" t="n">
        <v>0.3</v>
      </c>
      <c r="BR62" s="10" t="n">
        <v>0.1</v>
      </c>
      <c r="BS62" s="10" t="n">
        <v>0.1</v>
      </c>
    </row>
    <row r="63" customFormat="false" ht="15" hidden="false" customHeight="false" outlineLevel="0" collapsed="false">
      <c r="A63" s="8" t="s">
        <v>100</v>
      </c>
      <c r="B63" s="8" t="s">
        <v>119</v>
      </c>
      <c r="C63" s="8" t="n">
        <v>2</v>
      </c>
      <c r="D63" s="9" t="n">
        <v>566</v>
      </c>
      <c r="E63" s="9" t="n">
        <v>75</v>
      </c>
      <c r="F63" s="8" t="s">
        <v>81</v>
      </c>
      <c r="G63" s="8" t="s">
        <v>74</v>
      </c>
      <c r="H63" s="10" t="n">
        <v>0</v>
      </c>
      <c r="I63" s="10" t="n">
        <v>0.006</v>
      </c>
      <c r="J63" s="10" t="n">
        <v>0.008</v>
      </c>
      <c r="K63" s="8" t="n">
        <v>0</v>
      </c>
      <c r="L63" s="8" t="n">
        <v>10</v>
      </c>
      <c r="M63" s="10" t="n">
        <v>0.013</v>
      </c>
      <c r="N63" s="8" t="n">
        <v>0</v>
      </c>
      <c r="O63" s="9" t="n">
        <v>100</v>
      </c>
      <c r="P63" s="10" t="n">
        <f aca="false">IF(AND(ISNUMBER(O63),ISNUMBER(D63),D63&gt;0),O63/D63,"")</f>
        <v>0.176678445229682</v>
      </c>
      <c r="Q63" s="9" t="n">
        <v>24</v>
      </c>
      <c r="R63" s="9" t="n">
        <v>24</v>
      </c>
      <c r="S63" s="9" t="n">
        <v>195</v>
      </c>
      <c r="T63" s="11" t="n">
        <f aca="false">IF(AND(ISNUMBER(S63),ISNUMBER(D63),D63&gt;0),S63/D63,"")</f>
        <v>0.34452296819788</v>
      </c>
      <c r="U63" s="10" t="n">
        <v>0.1</v>
      </c>
      <c r="V63" s="10" t="n">
        <v>0.07</v>
      </c>
      <c r="W63" s="10" t="n">
        <v>0.07</v>
      </c>
      <c r="X63" s="10" t="n">
        <v>0.1</v>
      </c>
      <c r="Y63" s="8" t="n">
        <v>0</v>
      </c>
      <c r="Z63" s="8" t="s">
        <v>74</v>
      </c>
      <c r="AA63" s="8" t="n">
        <v>12</v>
      </c>
      <c r="AB63" s="8" t="n">
        <v>0</v>
      </c>
      <c r="AC63" s="11" t="n">
        <f aca="false">IF(AND(ISNUMBER(AA63),ISNUMBER(D63),D63&gt;0),AA63/D63*100,"")</f>
        <v>2.12014134275618</v>
      </c>
      <c r="AD63" s="12" t="n">
        <v>8000</v>
      </c>
      <c r="AE63" s="8" t="s">
        <v>74</v>
      </c>
      <c r="AF63" s="8" t="s">
        <v>77</v>
      </c>
      <c r="AG63" s="12" t="n">
        <v>345.89</v>
      </c>
      <c r="AH63" s="12" t="n">
        <v>416.64</v>
      </c>
      <c r="AI63" s="12" t="n">
        <v>463.81</v>
      </c>
      <c r="AJ63" s="12" t="n">
        <v>495.25</v>
      </c>
      <c r="AK63" s="8" t="n">
        <v>25</v>
      </c>
      <c r="AL63" s="10" t="n">
        <v>0.6</v>
      </c>
      <c r="AM63" s="8" t="s">
        <v>77</v>
      </c>
      <c r="AN63" s="12"/>
      <c r="AO63" s="8" t="s">
        <v>77</v>
      </c>
      <c r="AP63" s="8" t="s">
        <v>74</v>
      </c>
      <c r="AQ63" s="10" t="n">
        <v>0.9</v>
      </c>
      <c r="AR63" s="8" t="n">
        <v>4</v>
      </c>
      <c r="AS63" s="8" t="n">
        <v>2</v>
      </c>
      <c r="AT63" s="8" t="n">
        <v>1</v>
      </c>
      <c r="AU63" s="8" t="n">
        <v>4</v>
      </c>
      <c r="AV63" s="8" t="n">
        <v>1</v>
      </c>
      <c r="AW63" s="8" t="n">
        <v>1</v>
      </c>
      <c r="AX63" s="8" t="n">
        <v>1</v>
      </c>
      <c r="AY63" s="8" t="n">
        <v>2</v>
      </c>
      <c r="AZ63" s="8" t="n">
        <v>2</v>
      </c>
      <c r="BA63" s="8" t="n">
        <v>2</v>
      </c>
      <c r="BB63" s="8" t="n">
        <v>3</v>
      </c>
      <c r="BC63" s="8" t="n">
        <v>3</v>
      </c>
      <c r="BD63" s="8" t="n">
        <v>2</v>
      </c>
      <c r="BE63" s="8" t="n">
        <v>2</v>
      </c>
      <c r="BF63" s="8" t="n">
        <v>1</v>
      </c>
      <c r="BG63" s="8" t="n">
        <v>2</v>
      </c>
      <c r="BH63" s="8" t="n">
        <v>4</v>
      </c>
      <c r="BI63" s="8" t="n">
        <v>1</v>
      </c>
      <c r="BJ63" s="9" t="n">
        <v>21</v>
      </c>
      <c r="BK63" s="9" t="n">
        <v>0</v>
      </c>
      <c r="BL63" s="9"/>
      <c r="BM63" s="9" t="n">
        <v>87</v>
      </c>
      <c r="BN63" s="10" t="n">
        <v>0.7</v>
      </c>
      <c r="BO63" s="10" t="n">
        <v>0.1</v>
      </c>
      <c r="BP63" s="10" t="n">
        <f aca="false">IF(AND(ISNUMBER(BN63),ISNUMBER(BO63)),BN63+BO63,"")</f>
        <v>0.8</v>
      </c>
      <c r="BQ63" s="10" t="n">
        <v>0.2</v>
      </c>
      <c r="BR63" s="10" t="n">
        <v>0</v>
      </c>
      <c r="BS63" s="10" t="n">
        <v>0</v>
      </c>
    </row>
    <row r="64" customFormat="false" ht="15" hidden="false" customHeight="false" outlineLevel="0" collapsed="false">
      <c r="A64" s="8" t="s">
        <v>101</v>
      </c>
      <c r="B64" s="8" t="s">
        <v>119</v>
      </c>
      <c r="C64" s="8" t="n">
        <v>2</v>
      </c>
      <c r="D64" s="9" t="n">
        <v>341</v>
      </c>
      <c r="E64" s="9" t="n">
        <v>165</v>
      </c>
      <c r="F64" s="8" t="s">
        <v>92</v>
      </c>
      <c r="G64" s="8" t="s">
        <v>74</v>
      </c>
      <c r="H64" s="10"/>
      <c r="I64" s="10" t="n">
        <v>0.037</v>
      </c>
      <c r="J64" s="10" t="n">
        <v>0.01</v>
      </c>
      <c r="K64" s="8" t="n">
        <v>0</v>
      </c>
      <c r="L64" s="8" t="n">
        <v>10</v>
      </c>
      <c r="M64" s="10" t="n">
        <v>0.013</v>
      </c>
      <c r="N64" s="8" t="n">
        <v>0</v>
      </c>
      <c r="O64" s="9" t="n">
        <v>54</v>
      </c>
      <c r="P64" s="10" t="n">
        <f aca="false">IF(AND(ISNUMBER(O64),ISNUMBER(D64),D64&gt;0),O64/D64,"")</f>
        <v>0.158357771260997</v>
      </c>
      <c r="Q64" s="9" t="n">
        <v>57</v>
      </c>
      <c r="R64" s="9" t="n">
        <v>57</v>
      </c>
      <c r="S64" s="9" t="n">
        <v>20</v>
      </c>
      <c r="T64" s="11" t="n">
        <f aca="false">IF(AND(ISNUMBER(S64),ISNUMBER(D64),D64&gt;0),S64/D64,"")</f>
        <v>0.0586510263929619</v>
      </c>
      <c r="U64" s="10" t="n">
        <v>0.07</v>
      </c>
      <c r="V64" s="10" t="n">
        <v>0.07</v>
      </c>
      <c r="W64" s="10" t="n">
        <v>0.06</v>
      </c>
      <c r="X64" s="10" t="n">
        <v>0.12</v>
      </c>
      <c r="Y64" s="8" t="n">
        <v>0</v>
      </c>
      <c r="Z64" s="8" t="s">
        <v>74</v>
      </c>
      <c r="AA64" s="8" t="n">
        <v>27</v>
      </c>
      <c r="AB64" s="8" t="n">
        <v>0</v>
      </c>
      <c r="AC64" s="11" t="n">
        <f aca="false">IF(AND(ISNUMBER(AA64),ISNUMBER(D64),D64&gt;0),AA64/D64*100,"")</f>
        <v>7.91788856304985</v>
      </c>
      <c r="AD64" s="12" t="n">
        <v>2500</v>
      </c>
      <c r="AE64" s="8" t="s">
        <v>74</v>
      </c>
      <c r="AF64" s="8" t="s">
        <v>77</v>
      </c>
      <c r="AG64" s="12" t="n">
        <v>312.59</v>
      </c>
      <c r="AH64" s="12" t="n">
        <v>321.31</v>
      </c>
      <c r="AI64" s="12" t="n">
        <v>427.65</v>
      </c>
      <c r="AJ64" s="12" t="n">
        <v>427.65</v>
      </c>
      <c r="AK64" s="8" t="n">
        <v>15</v>
      </c>
      <c r="AL64" s="10" t="n">
        <v>0.25</v>
      </c>
      <c r="AM64" s="8" t="s">
        <v>74</v>
      </c>
      <c r="AN64" s="12" t="n">
        <v>62</v>
      </c>
      <c r="AO64" s="8" t="s">
        <v>77</v>
      </c>
      <c r="AP64" s="8" t="s">
        <v>74</v>
      </c>
      <c r="AQ64" s="10" t="n">
        <v>0.97</v>
      </c>
      <c r="AR64" s="8" t="n">
        <v>4</v>
      </c>
      <c r="AS64" s="8" t="n">
        <v>3</v>
      </c>
      <c r="AT64" s="8" t="n">
        <v>3</v>
      </c>
      <c r="AU64" s="8" t="n">
        <v>2</v>
      </c>
      <c r="AV64" s="8" t="n">
        <v>3</v>
      </c>
      <c r="AW64" s="8" t="n">
        <v>3</v>
      </c>
      <c r="AX64" s="8" t="n">
        <v>4</v>
      </c>
      <c r="AY64" s="8" t="n">
        <v>5</v>
      </c>
      <c r="AZ64" s="8" t="n">
        <v>1</v>
      </c>
      <c r="BA64" s="8" t="n">
        <v>2</v>
      </c>
      <c r="BB64" s="8" t="n">
        <v>1</v>
      </c>
      <c r="BC64" s="8" t="n">
        <v>4</v>
      </c>
      <c r="BD64" s="8" t="n">
        <v>3</v>
      </c>
      <c r="BE64" s="8" t="n">
        <v>3</v>
      </c>
      <c r="BF64" s="8" t="n">
        <v>1</v>
      </c>
      <c r="BG64" s="8" t="n">
        <v>1</v>
      </c>
      <c r="BH64" s="8" t="n">
        <v>3</v>
      </c>
      <c r="BI64" s="8" t="n">
        <v>3</v>
      </c>
      <c r="BJ64" s="9" t="n">
        <v>15</v>
      </c>
      <c r="BK64" s="9" t="n">
        <v>26</v>
      </c>
      <c r="BL64" s="9" t="n">
        <v>1</v>
      </c>
      <c r="BM64" s="9" t="n">
        <v>11</v>
      </c>
      <c r="BN64" s="10" t="n">
        <v>0.1</v>
      </c>
      <c r="BO64" s="10" t="n">
        <v>0</v>
      </c>
      <c r="BP64" s="10" t="n">
        <f aca="false">IF(AND(ISNUMBER(BN64),ISNUMBER(BO64)),BN64+BO64,"")</f>
        <v>0.1</v>
      </c>
      <c r="BQ64" s="10" t="n">
        <v>0</v>
      </c>
      <c r="BR64" s="10" t="n">
        <v>0.6</v>
      </c>
      <c r="BS64" s="10" t="n">
        <v>0.3</v>
      </c>
    </row>
    <row r="65" customFormat="false" ht="15" hidden="false" customHeight="false" outlineLevel="0" collapsed="false">
      <c r="A65" s="8" t="s">
        <v>102</v>
      </c>
      <c r="B65" s="8" t="s">
        <v>119</v>
      </c>
      <c r="C65" s="8" t="n">
        <v>2</v>
      </c>
      <c r="D65" s="9" t="n">
        <v>842</v>
      </c>
      <c r="E65" s="9" t="n">
        <v>73</v>
      </c>
      <c r="F65" s="8" t="s">
        <v>92</v>
      </c>
      <c r="G65" s="8" t="s">
        <v>74</v>
      </c>
      <c r="H65" s="10" t="n">
        <v>0.2</v>
      </c>
      <c r="I65" s="10" t="n">
        <v>0.036</v>
      </c>
      <c r="J65" s="10" t="n">
        <v>0.029</v>
      </c>
      <c r="K65" s="8" t="n">
        <v>0</v>
      </c>
      <c r="L65" s="8" t="n">
        <v>4</v>
      </c>
      <c r="M65" s="10" t="n">
        <v>0.01</v>
      </c>
      <c r="N65" s="8" t="n">
        <v>0</v>
      </c>
      <c r="O65" s="9" t="n">
        <v>94</v>
      </c>
      <c r="P65" s="10" t="n">
        <f aca="false">IF(AND(ISNUMBER(O65),ISNUMBER(D65),D65&gt;0),O65/D65,"")</f>
        <v>0.111638954869359</v>
      </c>
      <c r="Q65" s="9" t="n">
        <v>80</v>
      </c>
      <c r="R65" s="9" t="n">
        <v>33</v>
      </c>
      <c r="S65" s="9" t="n">
        <v>1145</v>
      </c>
      <c r="T65" s="11" t="n">
        <f aca="false">IF(AND(ISNUMBER(S65),ISNUMBER(D65),D65&gt;0),S65/D65,"")</f>
        <v>1.35985748218527</v>
      </c>
      <c r="U65" s="10" t="n">
        <v>0.06</v>
      </c>
      <c r="V65" s="10" t="n">
        <v>0.12</v>
      </c>
      <c r="W65" s="10" t="n">
        <v>0.08</v>
      </c>
      <c r="X65" s="10"/>
      <c r="Y65" s="8" t="n">
        <v>0</v>
      </c>
      <c r="Z65" s="8" t="s">
        <v>74</v>
      </c>
      <c r="AA65" s="8" t="n">
        <v>30</v>
      </c>
      <c r="AB65" s="8" t="n">
        <v>0</v>
      </c>
      <c r="AC65" s="11" t="n">
        <f aca="false">IF(AND(ISNUMBER(AA65),ISNUMBER(D65),D65&gt;0),AA65/D65*100,"")</f>
        <v>3.56294536817102</v>
      </c>
      <c r="AD65" s="12" t="n">
        <v>1333</v>
      </c>
      <c r="AE65" s="8" t="s">
        <v>74</v>
      </c>
      <c r="AF65" s="8" t="s">
        <v>77</v>
      </c>
      <c r="AG65" s="12" t="n">
        <v>331.48</v>
      </c>
      <c r="AH65" s="12" t="n">
        <v>450.29</v>
      </c>
      <c r="AI65" s="12" t="n">
        <v>508.5</v>
      </c>
      <c r="AJ65" s="12" t="n">
        <v>725.58</v>
      </c>
      <c r="AK65" s="8" t="n">
        <v>20</v>
      </c>
      <c r="AL65" s="10" t="n">
        <v>0.5</v>
      </c>
      <c r="AM65" s="8" t="s">
        <v>77</v>
      </c>
      <c r="AN65" s="12"/>
      <c r="AO65" s="8" t="s">
        <v>77</v>
      </c>
      <c r="AP65" s="8" t="s">
        <v>74</v>
      </c>
      <c r="AQ65" s="10" t="n">
        <v>0.95</v>
      </c>
      <c r="AR65" s="8" t="n">
        <v>3</v>
      </c>
      <c r="AS65" s="8" t="n">
        <v>1</v>
      </c>
      <c r="AT65" s="8" t="n">
        <v>2</v>
      </c>
      <c r="AU65" s="8" t="n">
        <v>2</v>
      </c>
      <c r="AV65" s="8" t="n">
        <v>3</v>
      </c>
      <c r="AW65" s="8" t="n">
        <v>4</v>
      </c>
      <c r="AX65" s="8" t="n">
        <v>0</v>
      </c>
      <c r="AY65" s="8" t="n">
        <v>1</v>
      </c>
      <c r="AZ65" s="8" t="n">
        <v>3</v>
      </c>
      <c r="BA65" s="8" t="n">
        <v>3</v>
      </c>
      <c r="BB65" s="8" t="n">
        <v>2</v>
      </c>
      <c r="BC65" s="8" t="n">
        <v>3</v>
      </c>
      <c r="BD65" s="8" t="n">
        <v>1</v>
      </c>
      <c r="BE65" s="8" t="n">
        <v>1</v>
      </c>
      <c r="BF65" s="8" t="n">
        <v>1</v>
      </c>
      <c r="BG65" s="8" t="n">
        <v>1</v>
      </c>
      <c r="BH65" s="8" t="n">
        <v>3</v>
      </c>
      <c r="BI65" s="8" t="n">
        <v>3</v>
      </c>
      <c r="BJ65" s="9" t="n">
        <v>19</v>
      </c>
      <c r="BK65" s="9" t="n">
        <v>42</v>
      </c>
      <c r="BL65" s="9" t="n">
        <v>21</v>
      </c>
      <c r="BM65" s="9" t="n">
        <v>12</v>
      </c>
      <c r="BN65" s="10" t="n">
        <v>0.5</v>
      </c>
      <c r="BO65" s="10" t="n">
        <v>0.3</v>
      </c>
      <c r="BP65" s="10" t="n">
        <f aca="false">IF(AND(ISNUMBER(BN65),ISNUMBER(BO65)),BN65+BO65,"")</f>
        <v>0.8</v>
      </c>
      <c r="BQ65" s="10" t="n">
        <v>0.1</v>
      </c>
      <c r="BR65" s="10" t="n">
        <v>0.1</v>
      </c>
      <c r="BS65" s="10" t="n">
        <v>0</v>
      </c>
    </row>
    <row r="66" customFormat="false" ht="15" hidden="false" customHeight="false" outlineLevel="0" collapsed="false">
      <c r="A66" s="8" t="s">
        <v>103</v>
      </c>
      <c r="B66" s="8" t="s">
        <v>119</v>
      </c>
      <c r="C66" s="8" t="n">
        <v>2</v>
      </c>
      <c r="D66" s="9" t="n">
        <v>653</v>
      </c>
      <c r="E66" s="9" t="n">
        <v>99</v>
      </c>
      <c r="F66" s="8" t="s">
        <v>92</v>
      </c>
      <c r="G66" s="8" t="s">
        <v>74</v>
      </c>
      <c r="H66" s="10" t="n">
        <v>0</v>
      </c>
      <c r="I66" s="10" t="n">
        <v>0.024</v>
      </c>
      <c r="J66" s="10" t="n">
        <v>0.05</v>
      </c>
      <c r="K66" s="8" t="n">
        <v>0</v>
      </c>
      <c r="L66" s="8" t="n">
        <v>5</v>
      </c>
      <c r="M66" s="10" t="n">
        <v>0.024</v>
      </c>
      <c r="N66" s="8" t="n">
        <v>0</v>
      </c>
      <c r="O66" s="9" t="n">
        <v>80</v>
      </c>
      <c r="P66" s="10" t="n">
        <f aca="false">IF(AND(ISNUMBER(O66),ISNUMBER(D66),D66&gt;0),O66/D66,"")</f>
        <v>0.122511485451761</v>
      </c>
      <c r="Q66" s="9" t="n">
        <v>108</v>
      </c>
      <c r="R66" s="9" t="n">
        <v>108</v>
      </c>
      <c r="S66" s="9" t="n">
        <v>867</v>
      </c>
      <c r="T66" s="11" t="n">
        <f aca="false">IF(AND(ISNUMBER(S66),ISNUMBER(D66),D66&gt;0),S66/D66,"")</f>
        <v>1.32771822358346</v>
      </c>
      <c r="U66" s="10" t="n">
        <v>0.05</v>
      </c>
      <c r="V66" s="10" t="n">
        <v>0.085</v>
      </c>
      <c r="W66" s="10" t="n">
        <v>0.085</v>
      </c>
      <c r="X66" s="10" t="n">
        <v>0.07</v>
      </c>
      <c r="Y66" s="8" t="n">
        <v>0</v>
      </c>
      <c r="Z66" s="8" t="s">
        <v>74</v>
      </c>
      <c r="AA66" s="8" t="n">
        <v>15</v>
      </c>
      <c r="AB66" s="8" t="n">
        <v>0</v>
      </c>
      <c r="AC66" s="11" t="n">
        <f aca="false">IF(AND(ISNUMBER(AA66),ISNUMBER(D66),D66&gt;0),AA66/D66*100,"")</f>
        <v>2.29709035222052</v>
      </c>
      <c r="AD66" s="12" t="n">
        <v>998</v>
      </c>
      <c r="AE66" s="8"/>
      <c r="AF66" s="8" t="s">
        <v>77</v>
      </c>
      <c r="AG66" s="12" t="n">
        <v>316</v>
      </c>
      <c r="AH66" s="12" t="n">
        <v>342</v>
      </c>
      <c r="AI66" s="12" t="n">
        <v>399</v>
      </c>
      <c r="AJ66" s="12" t="n">
        <v>411</v>
      </c>
      <c r="AK66" s="8" t="n">
        <v>18</v>
      </c>
      <c r="AL66" s="10" t="n">
        <v>0.25</v>
      </c>
      <c r="AM66" s="8" t="s">
        <v>74</v>
      </c>
      <c r="AN66" s="12" t="n">
        <v>28</v>
      </c>
      <c r="AO66" s="8" t="s">
        <v>77</v>
      </c>
      <c r="AP66" s="8" t="s">
        <v>74</v>
      </c>
      <c r="AQ66" s="10" t="n">
        <v>0.83</v>
      </c>
      <c r="AR66" s="8" t="n">
        <v>2</v>
      </c>
      <c r="AS66" s="8" t="n">
        <v>2</v>
      </c>
      <c r="AT66" s="8" t="n">
        <v>0</v>
      </c>
      <c r="AU66" s="8" t="n">
        <v>1</v>
      </c>
      <c r="AV66" s="8" t="n">
        <v>0</v>
      </c>
      <c r="AW66" s="8" t="n">
        <v>0</v>
      </c>
      <c r="AX66" s="8" t="n">
        <v>1</v>
      </c>
      <c r="AY66" s="8" t="n">
        <v>1</v>
      </c>
      <c r="AZ66" s="8" t="n">
        <v>1</v>
      </c>
      <c r="BA66" s="8" t="n">
        <v>1</v>
      </c>
      <c r="BB66" s="8" t="n">
        <v>1</v>
      </c>
      <c r="BC66" s="8" t="n">
        <v>1</v>
      </c>
      <c r="BD66" s="8" t="n">
        <v>2</v>
      </c>
      <c r="BE66" s="8" t="n">
        <v>1</v>
      </c>
      <c r="BF66" s="8" t="n">
        <v>0</v>
      </c>
      <c r="BG66" s="8" t="n">
        <v>1</v>
      </c>
      <c r="BH66" s="8" t="n">
        <v>3</v>
      </c>
      <c r="BI66" s="8" t="n">
        <v>3</v>
      </c>
      <c r="BJ66" s="9" t="n">
        <v>35</v>
      </c>
      <c r="BK66" s="9" t="n">
        <v>38</v>
      </c>
      <c r="BL66" s="9"/>
      <c r="BM66" s="9" t="n">
        <v>11</v>
      </c>
      <c r="BN66" s="10" t="n">
        <v>0.3</v>
      </c>
      <c r="BO66" s="10" t="n">
        <v>0.3</v>
      </c>
      <c r="BP66" s="10" t="n">
        <f aca="false">IF(AND(ISNUMBER(BN66),ISNUMBER(BO66)),BN66+BO66,"")</f>
        <v>0.6</v>
      </c>
      <c r="BQ66" s="10" t="n">
        <v>0.2</v>
      </c>
      <c r="BR66" s="10" t="n">
        <v>0.1</v>
      </c>
      <c r="BS66" s="10" t="n">
        <v>0.1</v>
      </c>
    </row>
    <row r="67" customFormat="false" ht="15" hidden="false" customHeight="false" outlineLevel="0" collapsed="false">
      <c r="A67" s="8" t="s">
        <v>104</v>
      </c>
      <c r="B67" s="8" t="s">
        <v>119</v>
      </c>
      <c r="C67" s="8" t="n">
        <v>2</v>
      </c>
      <c r="D67" s="9" t="n">
        <v>439</v>
      </c>
      <c r="E67" s="9" t="n">
        <v>35</v>
      </c>
      <c r="F67" s="8" t="s">
        <v>76</v>
      </c>
      <c r="G67" s="8" t="s">
        <v>74</v>
      </c>
      <c r="H67" s="10"/>
      <c r="I67" s="10" t="n">
        <v>0.012</v>
      </c>
      <c r="J67" s="10" t="n">
        <v>0.1</v>
      </c>
      <c r="K67" s="8" t="n">
        <v>0</v>
      </c>
      <c r="L67" s="8" t="n">
        <v>20</v>
      </c>
      <c r="M67" s="10" t="n">
        <v>0.1</v>
      </c>
      <c r="N67" s="8" t="n">
        <v>0</v>
      </c>
      <c r="O67" s="9" t="n">
        <v>120</v>
      </c>
      <c r="P67" s="10" t="n">
        <f aca="false">IF(AND(ISNUMBER(O67),ISNUMBER(D67),D67&gt;0),O67/D67,"")</f>
        <v>0.273348519362187</v>
      </c>
      <c r="Q67" s="9"/>
      <c r="R67" s="9" t="n">
        <v>90</v>
      </c>
      <c r="S67" s="9" t="n">
        <v>134</v>
      </c>
      <c r="T67" s="11" t="n">
        <f aca="false">IF(AND(ISNUMBER(S67),ISNUMBER(D67),D67&gt;0),S67/D67,"")</f>
        <v>0.305239179954442</v>
      </c>
      <c r="U67" s="10" t="n">
        <v>0.06</v>
      </c>
      <c r="V67" s="10" t="n">
        <v>0.105</v>
      </c>
      <c r="W67" s="10" t="n">
        <v>0.12</v>
      </c>
      <c r="X67" s="10" t="n">
        <v>0.005</v>
      </c>
      <c r="Y67" s="8" t="n">
        <v>1</v>
      </c>
      <c r="Z67" s="8" t="s">
        <v>77</v>
      </c>
      <c r="AA67" s="8" t="n">
        <v>0</v>
      </c>
      <c r="AB67" s="8" t="n">
        <v>0</v>
      </c>
      <c r="AC67" s="11" t="n">
        <f aca="false">IF(AND(ISNUMBER(AA67),ISNUMBER(D67),D67&gt;0),AA67/D67*100,"")</f>
        <v>0</v>
      </c>
      <c r="AD67" s="12"/>
      <c r="AE67" s="8" t="s">
        <v>77</v>
      </c>
      <c r="AF67" s="8" t="s">
        <v>74</v>
      </c>
      <c r="AG67" s="12" t="n">
        <v>226</v>
      </c>
      <c r="AH67" s="12" t="n">
        <v>248.5</v>
      </c>
      <c r="AI67" s="12" t="n">
        <v>282</v>
      </c>
      <c r="AJ67" s="12" t="n">
        <v>423.5</v>
      </c>
      <c r="AK67" s="8" t="n">
        <v>32</v>
      </c>
      <c r="AL67" s="10" t="n">
        <v>0.5</v>
      </c>
      <c r="AM67" s="8" t="s">
        <v>77</v>
      </c>
      <c r="AN67" s="12"/>
      <c r="AO67" s="8" t="s">
        <v>77</v>
      </c>
      <c r="AP67" s="8" t="s">
        <v>74</v>
      </c>
      <c r="AQ67" s="10"/>
      <c r="AR67" s="8" t="n">
        <v>1</v>
      </c>
      <c r="AS67" s="8" t="n">
        <v>1</v>
      </c>
      <c r="AT67" s="8" t="n">
        <v>2</v>
      </c>
      <c r="AU67" s="8" t="n">
        <v>3</v>
      </c>
      <c r="AV67" s="8" t="n">
        <v>1</v>
      </c>
      <c r="AW67" s="8" t="n">
        <v>1</v>
      </c>
      <c r="AX67" s="8" t="n">
        <v>2</v>
      </c>
      <c r="AY67" s="8" t="n">
        <v>1</v>
      </c>
      <c r="AZ67" s="8" t="n">
        <v>1</v>
      </c>
      <c r="BA67" s="8" t="n">
        <v>1</v>
      </c>
      <c r="BB67" s="8" t="n">
        <v>3</v>
      </c>
      <c r="BC67" s="8" t="n">
        <v>3</v>
      </c>
      <c r="BD67" s="8" t="n">
        <v>1</v>
      </c>
      <c r="BE67" s="8" t="n">
        <v>1</v>
      </c>
      <c r="BF67" s="8" t="n">
        <v>0</v>
      </c>
      <c r="BG67" s="8" t="n">
        <v>0</v>
      </c>
      <c r="BH67" s="8" t="n">
        <v>4</v>
      </c>
      <c r="BI67" s="8" t="n">
        <v>5</v>
      </c>
      <c r="BJ67" s="9" t="n">
        <v>48</v>
      </c>
      <c r="BK67" s="9" t="n">
        <v>57</v>
      </c>
      <c r="BL67" s="9" t="n">
        <v>10</v>
      </c>
      <c r="BM67" s="9" t="n">
        <v>2</v>
      </c>
      <c r="BN67" s="10" t="n">
        <v>0.4</v>
      </c>
      <c r="BO67" s="10" t="n">
        <v>0.3</v>
      </c>
      <c r="BP67" s="10" t="n">
        <f aca="false">IF(AND(ISNUMBER(BN67),ISNUMBER(BO67)),BN67+BO67,"")</f>
        <v>0.7</v>
      </c>
      <c r="BQ67" s="10" t="n">
        <v>0.2</v>
      </c>
      <c r="BR67" s="10" t="n">
        <v>0.1</v>
      </c>
      <c r="BS67" s="10" t="n">
        <v>0</v>
      </c>
    </row>
    <row r="68" customFormat="false" ht="15" hidden="false" customHeight="false" outlineLevel="0" collapsed="false">
      <c r="A68" s="8" t="s">
        <v>105</v>
      </c>
      <c r="B68" s="8" t="s">
        <v>119</v>
      </c>
      <c r="C68" s="8" t="n">
        <v>2</v>
      </c>
      <c r="D68" s="9" t="n">
        <v>0</v>
      </c>
      <c r="E68" s="9" t="n">
        <v>12</v>
      </c>
      <c r="F68" s="8" t="s">
        <v>81</v>
      </c>
      <c r="G68" s="8" t="s">
        <v>77</v>
      </c>
      <c r="H68" s="10"/>
      <c r="I68" s="10" t="n">
        <v>0.001</v>
      </c>
      <c r="J68" s="10"/>
      <c r="K68" s="8" t="n">
        <v>0</v>
      </c>
      <c r="L68" s="8"/>
      <c r="M68" s="10" t="n">
        <v>0.001</v>
      </c>
      <c r="N68" s="8" t="n">
        <v>0</v>
      </c>
      <c r="O68" s="9" t="n">
        <v>0</v>
      </c>
      <c r="P68" s="10" t="str">
        <f aca="false">IF(AND(ISNUMBER(O68),ISNUMBER(D68),D68&gt;0),O68/D68,"")</f>
        <v/>
      </c>
      <c r="Q68" s="9" t="n">
        <v>0</v>
      </c>
      <c r="R68" s="9" t="n">
        <v>0</v>
      </c>
      <c r="S68" s="9" t="n">
        <v>0</v>
      </c>
      <c r="T68" s="11" t="str">
        <f aca="false">IF(AND(ISNUMBER(S68),ISNUMBER(D68),D68&gt;0),S68/D68,"")</f>
        <v/>
      </c>
      <c r="U68" s="10"/>
      <c r="V68" s="10"/>
      <c r="W68" s="10"/>
      <c r="X68" s="10"/>
      <c r="Y68" s="8" t="n">
        <v>0</v>
      </c>
      <c r="Z68" s="8" t="s">
        <v>77</v>
      </c>
      <c r="AA68" s="8" t="n">
        <v>0</v>
      </c>
      <c r="AB68" s="8" t="n">
        <v>0</v>
      </c>
      <c r="AC68" s="11" t="str">
        <f aca="false">IF(AND(ISNUMBER(AA68),ISNUMBER(D68),D68&gt;0),AA68/D68*100,"")</f>
        <v/>
      </c>
      <c r="AD68" s="12"/>
      <c r="AE68" s="8"/>
      <c r="AF68" s="8" t="s">
        <v>77</v>
      </c>
      <c r="AG68" s="12" t="n">
        <v>633.33</v>
      </c>
      <c r="AH68" s="12" t="n">
        <v>766.66</v>
      </c>
      <c r="AI68" s="12" t="n">
        <v>850</v>
      </c>
      <c r="AJ68" s="12" t="n">
        <v>900</v>
      </c>
      <c r="AK68" s="8"/>
      <c r="AL68" s="10"/>
      <c r="AM68" s="8" t="s">
        <v>77</v>
      </c>
      <c r="AN68" s="12"/>
      <c r="AO68" s="8" t="s">
        <v>77</v>
      </c>
      <c r="AP68" s="8"/>
      <c r="AQ68" s="10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9" t="n">
        <v>0</v>
      </c>
      <c r="BK68" s="9" t="n">
        <v>0</v>
      </c>
      <c r="BL68" s="9" t="n">
        <v>0</v>
      </c>
      <c r="BM68" s="9" t="n">
        <v>0</v>
      </c>
      <c r="BN68" s="10"/>
      <c r="BO68" s="10"/>
      <c r="BP68" s="10" t="str">
        <f aca="false">IF(AND(ISNUMBER(BN68),ISNUMBER(BO68)),BN68+BO68,"")</f>
        <v/>
      </c>
      <c r="BQ68" s="10"/>
      <c r="BR68" s="10"/>
      <c r="BS68" s="10"/>
    </row>
    <row r="69" customFormat="false" ht="15" hidden="false" customHeight="false" outlineLevel="0" collapsed="false">
      <c r="A69" s="8" t="s">
        <v>106</v>
      </c>
      <c r="B69" s="8" t="s">
        <v>119</v>
      </c>
      <c r="C69" s="8" t="n">
        <v>2</v>
      </c>
      <c r="D69" s="9" t="n">
        <v>1883</v>
      </c>
      <c r="E69" s="9" t="n">
        <v>465</v>
      </c>
      <c r="F69" s="8" t="s">
        <v>81</v>
      </c>
      <c r="G69" s="8" t="s">
        <v>74</v>
      </c>
      <c r="H69" s="10"/>
      <c r="I69" s="10" t="n">
        <v>0.059</v>
      </c>
      <c r="J69" s="10" t="n">
        <v>0.022</v>
      </c>
      <c r="K69" s="8" t="n">
        <v>0</v>
      </c>
      <c r="L69" s="8" t="n">
        <v>5</v>
      </c>
      <c r="M69" s="10" t="n">
        <v>0.011</v>
      </c>
      <c r="N69" s="8" t="n">
        <v>0</v>
      </c>
      <c r="O69" s="9" t="n">
        <v>265</v>
      </c>
      <c r="P69" s="10" t="n">
        <f aca="false">IF(AND(ISNUMBER(O69),ISNUMBER(D69),D69&gt;0),O69/D69,"")</f>
        <v>0.140732873074881</v>
      </c>
      <c r="Q69" s="9" t="n">
        <v>186</v>
      </c>
      <c r="R69" s="9" t="n">
        <v>166</v>
      </c>
      <c r="S69" s="9" t="n">
        <v>2015</v>
      </c>
      <c r="T69" s="11" t="n">
        <f aca="false">IF(AND(ISNUMBER(S69),ISNUMBER(D69),D69&gt;0),S69/D69,"")</f>
        <v>1.07010090281466</v>
      </c>
      <c r="U69" s="10" t="n">
        <v>0.08</v>
      </c>
      <c r="V69" s="10" t="n">
        <v>0.08</v>
      </c>
      <c r="W69" s="10" t="n">
        <v>0.08</v>
      </c>
      <c r="X69" s="10"/>
      <c r="Y69" s="8" t="n">
        <v>0</v>
      </c>
      <c r="Z69" s="8" t="s">
        <v>74</v>
      </c>
      <c r="AA69" s="8" t="n">
        <v>9</v>
      </c>
      <c r="AB69" s="8" t="n">
        <v>0</v>
      </c>
      <c r="AC69" s="11" t="n">
        <f aca="false">IF(AND(ISNUMBER(AA69),ISNUMBER(D69),D69&gt;0),AA69/D69*100,"")</f>
        <v>0.477960701009028</v>
      </c>
      <c r="AD69" s="12" t="n">
        <v>1500</v>
      </c>
      <c r="AE69" s="8" t="s">
        <v>77</v>
      </c>
      <c r="AF69" s="8" t="s">
        <v>74</v>
      </c>
      <c r="AG69" s="12" t="n">
        <v>350</v>
      </c>
      <c r="AH69" s="12" t="n">
        <v>444</v>
      </c>
      <c r="AI69" s="12" t="n">
        <v>532</v>
      </c>
      <c r="AJ69" s="12" t="n">
        <v>757</v>
      </c>
      <c r="AK69" s="8" t="n">
        <v>22</v>
      </c>
      <c r="AL69" s="10" t="n">
        <v>0.5</v>
      </c>
      <c r="AM69" s="8" t="s">
        <v>77</v>
      </c>
      <c r="AN69" s="12"/>
      <c r="AO69" s="8" t="s">
        <v>77</v>
      </c>
      <c r="AP69" s="8" t="s">
        <v>74</v>
      </c>
      <c r="AQ69" s="10" t="n">
        <v>0.85</v>
      </c>
      <c r="AR69" s="8" t="n">
        <v>3</v>
      </c>
      <c r="AS69" s="8" t="n">
        <v>3</v>
      </c>
      <c r="AT69" s="8" t="n">
        <v>3</v>
      </c>
      <c r="AU69" s="8" t="n">
        <v>3</v>
      </c>
      <c r="AV69" s="8" t="n">
        <v>2</v>
      </c>
      <c r="AW69" s="8" t="n">
        <v>0</v>
      </c>
      <c r="AX69" s="8" t="n">
        <v>3</v>
      </c>
      <c r="AY69" s="8" t="n">
        <v>4</v>
      </c>
      <c r="AZ69" s="8" t="n">
        <v>2</v>
      </c>
      <c r="BA69" s="8" t="n">
        <v>2</v>
      </c>
      <c r="BB69" s="8" t="n">
        <v>2</v>
      </c>
      <c r="BC69" s="8" t="n">
        <v>4</v>
      </c>
      <c r="BD69" s="8" t="n">
        <v>0</v>
      </c>
      <c r="BE69" s="8" t="n">
        <v>0</v>
      </c>
      <c r="BF69" s="8" t="n">
        <v>2</v>
      </c>
      <c r="BG69" s="8" t="n">
        <v>2</v>
      </c>
      <c r="BH69" s="8" t="n">
        <v>2</v>
      </c>
      <c r="BI69" s="8" t="n">
        <v>4</v>
      </c>
      <c r="BJ69" s="9" t="n">
        <v>89</v>
      </c>
      <c r="BK69" s="9" t="n">
        <v>145</v>
      </c>
      <c r="BL69" s="9" t="n">
        <v>0</v>
      </c>
      <c r="BM69" s="9" t="n">
        <v>47</v>
      </c>
      <c r="BN69" s="10" t="n">
        <v>0.6</v>
      </c>
      <c r="BO69" s="10" t="n">
        <v>0.2</v>
      </c>
      <c r="BP69" s="10" t="n">
        <f aca="false">IF(AND(ISNUMBER(BN69),ISNUMBER(BO69)),BN69+BO69,"")</f>
        <v>0.8</v>
      </c>
      <c r="BQ69" s="10" t="n">
        <v>0.1</v>
      </c>
      <c r="BR69" s="10" t="n">
        <v>0</v>
      </c>
      <c r="BS69" s="10" t="n">
        <v>0.1</v>
      </c>
    </row>
    <row r="70" customFormat="false" ht="15" hidden="false" customHeight="false" outlineLevel="0" collapsed="false">
      <c r="A70" s="8" t="s">
        <v>107</v>
      </c>
      <c r="B70" s="8" t="s">
        <v>119</v>
      </c>
      <c r="C70" s="8" t="n">
        <v>2</v>
      </c>
      <c r="D70" s="9" t="n">
        <v>675</v>
      </c>
      <c r="E70" s="9" t="n">
        <v>263</v>
      </c>
      <c r="F70" s="8" t="s">
        <v>73</v>
      </c>
      <c r="G70" s="8" t="s">
        <v>74</v>
      </c>
      <c r="H70" s="10" t="n">
        <v>0.8</v>
      </c>
      <c r="I70" s="10" t="n">
        <v>0.052</v>
      </c>
      <c r="J70" s="10" t="n">
        <v>0.15</v>
      </c>
      <c r="K70" s="8" t="n">
        <v>1</v>
      </c>
      <c r="L70" s="8" t="n">
        <v>7</v>
      </c>
      <c r="M70" s="10" t="n">
        <v>0.04</v>
      </c>
      <c r="N70" s="8" t="n">
        <v>0</v>
      </c>
      <c r="O70" s="9" t="n">
        <v>73</v>
      </c>
      <c r="P70" s="10" t="n">
        <f aca="false">IF(AND(ISNUMBER(O70),ISNUMBER(D70),D70&gt;0),O70/D70,"")</f>
        <v>0.108148148148148</v>
      </c>
      <c r="Q70" s="9" t="n">
        <v>91</v>
      </c>
      <c r="R70" s="9" t="n">
        <v>115</v>
      </c>
      <c r="S70" s="9" t="n">
        <v>430</v>
      </c>
      <c r="T70" s="11" t="n">
        <f aca="false">IF(AND(ISNUMBER(S70),ISNUMBER(D70),D70&gt;0),S70/D70,"")</f>
        <v>0.637037037037037</v>
      </c>
      <c r="U70" s="10" t="n">
        <v>0.06</v>
      </c>
      <c r="V70" s="10" t="n">
        <v>0.1</v>
      </c>
      <c r="W70" s="10" t="n">
        <v>0.07</v>
      </c>
      <c r="X70" s="10" t="n">
        <v>0.11</v>
      </c>
      <c r="Y70" s="8" t="n">
        <v>0</v>
      </c>
      <c r="Z70" s="8" t="s">
        <v>74</v>
      </c>
      <c r="AA70" s="8" t="n">
        <v>11</v>
      </c>
      <c r="AB70" s="8" t="n">
        <v>0</v>
      </c>
      <c r="AC70" s="11" t="n">
        <f aca="false">IF(AND(ISNUMBER(AA70),ISNUMBER(D70),D70&gt;0),AA70/D70*100,"")</f>
        <v>1.62962962962963</v>
      </c>
      <c r="AD70" s="12" t="n">
        <v>1700</v>
      </c>
      <c r="AE70" s="8" t="s">
        <v>74</v>
      </c>
      <c r="AF70" s="8" t="s">
        <v>77</v>
      </c>
      <c r="AG70" s="12" t="n">
        <v>290.25</v>
      </c>
      <c r="AH70" s="12" t="n">
        <v>330.82</v>
      </c>
      <c r="AI70" s="12" t="n">
        <v>502.03</v>
      </c>
      <c r="AJ70" s="12" t="n">
        <v>590</v>
      </c>
      <c r="AK70" s="8" t="n">
        <v>26</v>
      </c>
      <c r="AL70" s="10" t="n">
        <v>0.4</v>
      </c>
      <c r="AM70" s="8" t="s">
        <v>74</v>
      </c>
      <c r="AN70" s="12" t="n">
        <v>22</v>
      </c>
      <c r="AO70" s="8" t="s">
        <v>74</v>
      </c>
      <c r="AP70" s="8" t="s">
        <v>74</v>
      </c>
      <c r="AQ70" s="10" t="n">
        <v>0.98</v>
      </c>
      <c r="AR70" s="8" t="n">
        <v>3</v>
      </c>
      <c r="AS70" s="8" t="n">
        <v>2</v>
      </c>
      <c r="AT70" s="8" t="n">
        <v>1</v>
      </c>
      <c r="AU70" s="8" t="n">
        <v>1</v>
      </c>
      <c r="AV70" s="8" t="n">
        <v>1</v>
      </c>
      <c r="AW70" s="8" t="n">
        <v>0</v>
      </c>
      <c r="AX70" s="8" t="n">
        <v>1</v>
      </c>
      <c r="AY70" s="8" t="n">
        <v>2</v>
      </c>
      <c r="AZ70" s="8" t="n">
        <v>2</v>
      </c>
      <c r="BA70" s="8" t="n">
        <v>2</v>
      </c>
      <c r="BB70" s="8" t="n">
        <v>1</v>
      </c>
      <c r="BC70" s="8" t="n">
        <v>3</v>
      </c>
      <c r="BD70" s="8" t="n">
        <v>1</v>
      </c>
      <c r="BE70" s="8" t="n">
        <v>1</v>
      </c>
      <c r="BF70" s="8" t="n">
        <v>1</v>
      </c>
      <c r="BG70" s="8" t="n">
        <v>1</v>
      </c>
      <c r="BH70" s="8" t="n">
        <v>3</v>
      </c>
      <c r="BI70" s="8" t="n">
        <v>0</v>
      </c>
      <c r="BJ70" s="9" t="n">
        <v>38</v>
      </c>
      <c r="BK70" s="9" t="n">
        <v>27</v>
      </c>
      <c r="BL70" s="9"/>
      <c r="BM70" s="9" t="n">
        <v>11</v>
      </c>
      <c r="BN70" s="10" t="n">
        <v>0.1</v>
      </c>
      <c r="BO70" s="10" t="n">
        <v>0.4</v>
      </c>
      <c r="BP70" s="10" t="n">
        <f aca="false">IF(AND(ISNUMBER(BN70),ISNUMBER(BO70)),BN70+BO70,"")</f>
        <v>0.5</v>
      </c>
      <c r="BQ70" s="10" t="n">
        <v>0.3</v>
      </c>
      <c r="BR70" s="10" t="n">
        <v>0.1</v>
      </c>
      <c r="BS70" s="10" t="n">
        <v>0.1</v>
      </c>
    </row>
    <row r="71" customFormat="false" ht="15" hidden="false" customHeight="false" outlineLevel="0" collapsed="false">
      <c r="A71" s="8" t="s">
        <v>108</v>
      </c>
      <c r="B71" s="8" t="s">
        <v>119</v>
      </c>
      <c r="C71" s="8" t="n">
        <v>2</v>
      </c>
      <c r="D71" s="9" t="n">
        <v>158</v>
      </c>
      <c r="E71" s="9" t="n">
        <v>45</v>
      </c>
      <c r="F71" s="8" t="s">
        <v>73</v>
      </c>
      <c r="G71" s="8" t="s">
        <v>77</v>
      </c>
      <c r="H71" s="10" t="n">
        <v>0.6</v>
      </c>
      <c r="I71" s="10" t="n">
        <v>0.028</v>
      </c>
      <c r="J71" s="10" t="n">
        <v>0.032</v>
      </c>
      <c r="K71" s="8" t="n">
        <v>0</v>
      </c>
      <c r="L71" s="8"/>
      <c r="M71" s="10" t="n">
        <v>0.003</v>
      </c>
      <c r="N71" s="8" t="n">
        <v>0</v>
      </c>
      <c r="O71" s="9" t="n">
        <v>22</v>
      </c>
      <c r="P71" s="10" t="n">
        <f aca="false">IF(AND(ISNUMBER(O71),ISNUMBER(D71),D71&gt;0),O71/D71,"")</f>
        <v>0.139240506329114</v>
      </c>
      <c r="Q71" s="9"/>
      <c r="R71" s="9" t="n">
        <v>19</v>
      </c>
      <c r="S71" s="9" t="n">
        <v>171</v>
      </c>
      <c r="T71" s="11" t="n">
        <f aca="false">IF(AND(ISNUMBER(S71),ISNUMBER(D71),D71&gt;0),S71/D71,"")</f>
        <v>1.08227848101266</v>
      </c>
      <c r="U71" s="10" t="n">
        <v>0.08</v>
      </c>
      <c r="V71" s="10" t="n">
        <v>0.1</v>
      </c>
      <c r="W71" s="10" t="n">
        <v>0.1</v>
      </c>
      <c r="X71" s="10" t="n">
        <v>0.05</v>
      </c>
      <c r="Y71" s="8" t="n">
        <v>0</v>
      </c>
      <c r="Z71" s="8" t="s">
        <v>74</v>
      </c>
      <c r="AA71" s="8" t="n">
        <v>2</v>
      </c>
      <c r="AB71" s="8" t="n">
        <v>0</v>
      </c>
      <c r="AC71" s="11" t="n">
        <f aca="false">IF(AND(ISNUMBER(AA71),ISNUMBER(D71),D71&gt;0),AA71/D71*100,"")</f>
        <v>1.26582278481013</v>
      </c>
      <c r="AD71" s="12" t="n">
        <v>1200</v>
      </c>
      <c r="AE71" s="8" t="s">
        <v>77</v>
      </c>
      <c r="AF71" s="8" t="s">
        <v>74</v>
      </c>
      <c r="AG71" s="12" t="n">
        <v>260</v>
      </c>
      <c r="AH71" s="12" t="n">
        <v>280</v>
      </c>
      <c r="AI71" s="12" t="n">
        <v>307.5</v>
      </c>
      <c r="AJ71" s="12" t="n">
        <v>407</v>
      </c>
      <c r="AK71" s="8" t="n">
        <v>20</v>
      </c>
      <c r="AL71" s="10" t="n">
        <v>0.25</v>
      </c>
      <c r="AM71" s="8" t="s">
        <v>77</v>
      </c>
      <c r="AN71" s="12"/>
      <c r="AO71" s="8" t="s">
        <v>77</v>
      </c>
      <c r="AP71" s="8" t="s">
        <v>77</v>
      </c>
      <c r="AQ71" s="10" t="n">
        <v>0.78</v>
      </c>
      <c r="AR71" s="8" t="n">
        <v>3</v>
      </c>
      <c r="AS71" s="8" t="n">
        <v>2</v>
      </c>
      <c r="AT71" s="8" t="n">
        <v>3</v>
      </c>
      <c r="AU71" s="8" t="n">
        <v>1</v>
      </c>
      <c r="AV71" s="8" t="n">
        <v>1</v>
      </c>
      <c r="AW71" s="8" t="n">
        <v>0</v>
      </c>
      <c r="AX71" s="8" t="n">
        <v>1</v>
      </c>
      <c r="AY71" s="8" t="n">
        <v>1</v>
      </c>
      <c r="AZ71" s="8" t="n">
        <v>2</v>
      </c>
      <c r="BA71" s="8" t="n">
        <v>3</v>
      </c>
      <c r="BB71" s="8" t="n">
        <v>2</v>
      </c>
      <c r="BC71" s="8" t="n">
        <v>3</v>
      </c>
      <c r="BD71" s="8"/>
      <c r="BE71" s="8" t="n">
        <v>2</v>
      </c>
      <c r="BF71" s="8" t="n">
        <v>0</v>
      </c>
      <c r="BG71" s="8" t="n">
        <v>1</v>
      </c>
      <c r="BH71" s="8" t="n">
        <v>3</v>
      </c>
      <c r="BI71" s="8" t="n">
        <v>3</v>
      </c>
      <c r="BJ71" s="9" t="n">
        <v>14</v>
      </c>
      <c r="BK71" s="9" t="n">
        <v>1</v>
      </c>
      <c r="BL71" s="9" t="n">
        <v>0</v>
      </c>
      <c r="BM71" s="9" t="n">
        <v>4</v>
      </c>
      <c r="BN71" s="10" t="n">
        <v>0.9</v>
      </c>
      <c r="BO71" s="10" t="n">
        <v>0</v>
      </c>
      <c r="BP71" s="10" t="n">
        <f aca="false">IF(AND(ISNUMBER(BN71),ISNUMBER(BO71)),BN71+BO71,"")</f>
        <v>0.9</v>
      </c>
      <c r="BQ71" s="10" t="n">
        <v>0</v>
      </c>
      <c r="BR71" s="10" t="n">
        <v>0.1</v>
      </c>
      <c r="BS71" s="10" t="n">
        <v>0</v>
      </c>
    </row>
    <row r="72" customFormat="false" ht="15" hidden="false" customHeight="false" outlineLevel="0" collapsed="false">
      <c r="A72" s="8" t="s">
        <v>109</v>
      </c>
      <c r="B72" s="8" t="s">
        <v>119</v>
      </c>
      <c r="C72" s="8" t="n">
        <v>2</v>
      </c>
      <c r="D72" s="9" t="n">
        <v>253</v>
      </c>
      <c r="E72" s="9" t="n">
        <v>491</v>
      </c>
      <c r="F72" s="8" t="s">
        <v>92</v>
      </c>
      <c r="G72" s="8" t="s">
        <v>74</v>
      </c>
      <c r="H72" s="10" t="n">
        <v>0.2</v>
      </c>
      <c r="I72" s="10" t="n">
        <v>0.021</v>
      </c>
      <c r="J72" s="10" t="n">
        <v>0.004</v>
      </c>
      <c r="K72" s="8" t="n">
        <v>0</v>
      </c>
      <c r="L72" s="8" t="n">
        <v>30</v>
      </c>
      <c r="M72" s="10" t="n">
        <v>0.007</v>
      </c>
      <c r="N72" s="8" t="n">
        <v>0</v>
      </c>
      <c r="O72" s="9" t="n">
        <v>18</v>
      </c>
      <c r="P72" s="10" t="n">
        <f aca="false">IF(AND(ISNUMBER(O72),ISNUMBER(D72),D72&gt;0),O72/D72,"")</f>
        <v>0.0711462450592885</v>
      </c>
      <c r="Q72" s="9" t="n">
        <v>5</v>
      </c>
      <c r="R72" s="9" t="n">
        <v>2</v>
      </c>
      <c r="S72" s="9" t="n">
        <v>34</v>
      </c>
      <c r="T72" s="11" t="n">
        <f aca="false">IF(AND(ISNUMBER(S72),ISNUMBER(D72),D72&gt;0),S72/D72,"")</f>
        <v>0.134387351778656</v>
      </c>
      <c r="U72" s="10" t="n">
        <v>0.08</v>
      </c>
      <c r="V72" s="10" t="n">
        <v>0.09</v>
      </c>
      <c r="W72" s="10" t="n">
        <v>0.07</v>
      </c>
      <c r="X72" s="10"/>
      <c r="Y72" s="8" t="n">
        <v>0</v>
      </c>
      <c r="Z72" s="8" t="s">
        <v>74</v>
      </c>
      <c r="AA72" s="8" t="n">
        <v>10</v>
      </c>
      <c r="AB72" s="8" t="n">
        <v>0</v>
      </c>
      <c r="AC72" s="11" t="n">
        <f aca="false">IF(AND(ISNUMBER(AA72),ISNUMBER(D72),D72&gt;0),AA72/D72*100,"")</f>
        <v>3.95256916996047</v>
      </c>
      <c r="AD72" s="12" t="n">
        <v>1800</v>
      </c>
      <c r="AE72" s="8" t="s">
        <v>74</v>
      </c>
      <c r="AF72" s="8" t="s">
        <v>77</v>
      </c>
      <c r="AG72" s="12" t="n">
        <v>325</v>
      </c>
      <c r="AH72" s="12" t="n">
        <v>372</v>
      </c>
      <c r="AI72" s="12" t="n">
        <v>430</v>
      </c>
      <c r="AJ72" s="12" t="n">
        <v>499</v>
      </c>
      <c r="AK72" s="8" t="n">
        <v>20</v>
      </c>
      <c r="AL72" s="10" t="n">
        <v>0.4</v>
      </c>
      <c r="AM72" s="8" t="s">
        <v>74</v>
      </c>
      <c r="AN72" s="12" t="n">
        <v>34</v>
      </c>
      <c r="AO72" s="8" t="s">
        <v>77</v>
      </c>
      <c r="AP72" s="8" t="s">
        <v>74</v>
      </c>
      <c r="AQ72" s="10" t="n">
        <v>0.9</v>
      </c>
      <c r="AR72" s="8" t="n">
        <v>3</v>
      </c>
      <c r="AS72" s="8" t="n">
        <v>0</v>
      </c>
      <c r="AT72" s="8" t="n">
        <v>0</v>
      </c>
      <c r="AU72" s="8" t="n">
        <v>0</v>
      </c>
      <c r="AV72" s="8" t="n">
        <v>0</v>
      </c>
      <c r="AW72" s="8" t="n">
        <v>0</v>
      </c>
      <c r="AX72" s="8" t="n">
        <v>0</v>
      </c>
      <c r="AY72" s="8" t="n">
        <v>0</v>
      </c>
      <c r="AZ72" s="8" t="n">
        <v>2</v>
      </c>
      <c r="BA72" s="8" t="n">
        <v>2</v>
      </c>
      <c r="BB72" s="8" t="n">
        <v>2</v>
      </c>
      <c r="BC72" s="8" t="n">
        <v>3</v>
      </c>
      <c r="BD72" s="8" t="n">
        <v>1</v>
      </c>
      <c r="BE72" s="8" t="n">
        <v>0</v>
      </c>
      <c r="BF72" s="8" t="n">
        <v>0</v>
      </c>
      <c r="BG72" s="8" t="n">
        <v>0</v>
      </c>
      <c r="BH72" s="8" t="n">
        <v>0</v>
      </c>
      <c r="BI72" s="8" t="n">
        <v>3</v>
      </c>
      <c r="BJ72" s="9" t="n">
        <v>5</v>
      </c>
      <c r="BK72" s="9" t="n">
        <v>1</v>
      </c>
      <c r="BL72" s="9" t="n">
        <v>8</v>
      </c>
      <c r="BM72" s="9" t="n">
        <v>12</v>
      </c>
      <c r="BN72" s="10" t="n">
        <v>0.1</v>
      </c>
      <c r="BO72" s="10" t="n">
        <v>0</v>
      </c>
      <c r="BP72" s="10" t="n">
        <f aca="false">IF(AND(ISNUMBER(BN72),ISNUMBER(BO72)),BN72+BO72,"")</f>
        <v>0.1</v>
      </c>
      <c r="BQ72" s="10" t="n">
        <v>0.1</v>
      </c>
      <c r="BR72" s="10" t="n">
        <v>0.4</v>
      </c>
      <c r="BS72" s="10" t="n">
        <v>0.4</v>
      </c>
    </row>
    <row r="73" customFormat="false" ht="15" hidden="false" customHeight="false" outlineLevel="0" collapsed="false">
      <c r="A73" s="8" t="s">
        <v>110</v>
      </c>
      <c r="B73" s="8" t="s">
        <v>119</v>
      </c>
      <c r="C73" s="8" t="n">
        <v>2</v>
      </c>
      <c r="D73" s="9" t="n">
        <v>44</v>
      </c>
      <c r="E73" s="9" t="n">
        <v>52</v>
      </c>
      <c r="F73" s="8" t="s">
        <v>81</v>
      </c>
      <c r="G73" s="8" t="s">
        <v>74</v>
      </c>
      <c r="H73" s="10" t="n">
        <v>0</v>
      </c>
      <c r="I73" s="10" t="n">
        <v>0.011</v>
      </c>
      <c r="J73" s="10"/>
      <c r="K73" s="8" t="n">
        <v>0</v>
      </c>
      <c r="L73" s="8" t="n">
        <v>30</v>
      </c>
      <c r="M73" s="10"/>
      <c r="N73" s="8" t="n">
        <v>0</v>
      </c>
      <c r="O73" s="9" t="n">
        <v>0</v>
      </c>
      <c r="P73" s="10" t="n">
        <f aca="false">IF(AND(ISNUMBER(O73),ISNUMBER(D73),D73&gt;0),O73/D73,"")</f>
        <v>0</v>
      </c>
      <c r="Q73" s="9"/>
      <c r="R73" s="9" t="n">
        <v>8</v>
      </c>
      <c r="S73" s="9" t="n">
        <v>14</v>
      </c>
      <c r="T73" s="11" t="n">
        <f aca="false">IF(AND(ISNUMBER(S73),ISNUMBER(D73),D73&gt;0),S73/D73,"")</f>
        <v>0.318181818181818</v>
      </c>
      <c r="U73" s="10" t="n">
        <v>0.06</v>
      </c>
      <c r="V73" s="10" t="n">
        <v>0.08</v>
      </c>
      <c r="W73" s="10" t="n">
        <v>0.13</v>
      </c>
      <c r="X73" s="10"/>
      <c r="Y73" s="8" t="n">
        <v>0</v>
      </c>
      <c r="Z73" s="8" t="s">
        <v>74</v>
      </c>
      <c r="AA73" s="8" t="n">
        <v>4</v>
      </c>
      <c r="AB73" s="8" t="n">
        <v>0</v>
      </c>
      <c r="AC73" s="11" t="n">
        <f aca="false">IF(AND(ISNUMBER(AA73),ISNUMBER(D73),D73&gt;0),AA73/D73*100,"")</f>
        <v>9.09090909090909</v>
      </c>
      <c r="AD73" s="12" t="n">
        <v>2417.58</v>
      </c>
      <c r="AE73" s="8" t="s">
        <v>74</v>
      </c>
      <c r="AF73" s="8" t="s">
        <v>77</v>
      </c>
      <c r="AG73" s="12" t="n">
        <v>321.73</v>
      </c>
      <c r="AH73" s="12" t="n">
        <v>355.29</v>
      </c>
      <c r="AI73" s="12" t="n">
        <v>473.6</v>
      </c>
      <c r="AJ73" s="12" t="n">
        <v>568.47</v>
      </c>
      <c r="AK73" s="8" t="n">
        <v>21</v>
      </c>
      <c r="AL73" s="10" t="n">
        <v>0.5</v>
      </c>
      <c r="AM73" s="8" t="s">
        <v>77</v>
      </c>
      <c r="AN73" s="12"/>
      <c r="AO73" s="8" t="s">
        <v>74</v>
      </c>
      <c r="AP73" s="8" t="s">
        <v>74</v>
      </c>
      <c r="AQ73" s="10" t="n">
        <v>0.7</v>
      </c>
      <c r="AR73" s="8" t="n">
        <v>1</v>
      </c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 t="n">
        <v>1</v>
      </c>
      <c r="BJ73" s="9" t="n">
        <v>1</v>
      </c>
      <c r="BK73" s="9" t="n">
        <v>0</v>
      </c>
      <c r="BL73" s="9" t="n">
        <v>0</v>
      </c>
      <c r="BM73" s="9" t="n">
        <v>0</v>
      </c>
      <c r="BN73" s="10" t="n">
        <v>0</v>
      </c>
      <c r="BO73" s="10" t="n">
        <v>0.2</v>
      </c>
      <c r="BP73" s="10" t="n">
        <f aca="false">IF(AND(ISNUMBER(BN73),ISNUMBER(BO73)),BN73+BO73,"")</f>
        <v>0.2</v>
      </c>
      <c r="BQ73" s="10" t="n">
        <v>0</v>
      </c>
      <c r="BR73" s="10" t="n">
        <v>0</v>
      </c>
      <c r="BS73" s="10" t="n">
        <v>0.8</v>
      </c>
    </row>
    <row r="74" customFormat="false" ht="15" hidden="false" customHeight="false" outlineLevel="0" collapsed="false">
      <c r="A74" s="8" t="s">
        <v>111</v>
      </c>
      <c r="B74" s="8" t="s">
        <v>119</v>
      </c>
      <c r="C74" s="8" t="n">
        <v>2</v>
      </c>
      <c r="D74" s="9" t="n">
        <v>100</v>
      </c>
      <c r="E74" s="9" t="n">
        <v>63</v>
      </c>
      <c r="F74" s="8" t="s">
        <v>73</v>
      </c>
      <c r="G74" s="8" t="s">
        <v>74</v>
      </c>
      <c r="H74" s="10" t="n">
        <v>0</v>
      </c>
      <c r="I74" s="10" t="n">
        <v>0.003</v>
      </c>
      <c r="J74" s="10" t="n">
        <v>0.003</v>
      </c>
      <c r="K74" s="8" t="n">
        <v>0</v>
      </c>
      <c r="L74" s="8" t="n">
        <v>15</v>
      </c>
      <c r="M74" s="10"/>
      <c r="N74" s="8" t="n">
        <v>0</v>
      </c>
      <c r="O74" s="9" t="n">
        <v>6</v>
      </c>
      <c r="P74" s="10" t="n">
        <f aca="false">IF(AND(ISNUMBER(O74),ISNUMBER(D74),D74&gt;0),O74/D74,"")</f>
        <v>0.06</v>
      </c>
      <c r="Q74" s="9" t="n">
        <v>5</v>
      </c>
      <c r="R74" s="9" t="n">
        <v>5</v>
      </c>
      <c r="S74" s="9" t="n">
        <v>6</v>
      </c>
      <c r="T74" s="11" t="n">
        <f aca="false">IF(AND(ISNUMBER(S74),ISNUMBER(D74),D74&gt;0),S74/D74,"")</f>
        <v>0.06</v>
      </c>
      <c r="U74" s="10" t="n">
        <v>0.09</v>
      </c>
      <c r="V74" s="10" t="n">
        <v>0.085</v>
      </c>
      <c r="W74" s="10" t="n">
        <v>0.065</v>
      </c>
      <c r="X74" s="10" t="n">
        <v>0.025</v>
      </c>
      <c r="Y74" s="8" t="n">
        <v>0</v>
      </c>
      <c r="Z74" s="8" t="s">
        <v>74</v>
      </c>
      <c r="AA74" s="8" t="n">
        <v>10</v>
      </c>
      <c r="AB74" s="8" t="n">
        <v>0</v>
      </c>
      <c r="AC74" s="11" t="n">
        <f aca="false">IF(AND(ISNUMBER(AA74),ISNUMBER(D74),D74&gt;0),AA74/D74*100,"")</f>
        <v>10</v>
      </c>
      <c r="AD74" s="12" t="n">
        <v>3500</v>
      </c>
      <c r="AE74" s="8"/>
      <c r="AF74" s="8" t="s">
        <v>74</v>
      </c>
      <c r="AG74" s="12" t="n">
        <v>346.73</v>
      </c>
      <c r="AH74" s="12" t="n">
        <v>378.64</v>
      </c>
      <c r="AI74" s="12" t="n">
        <v>411.51</v>
      </c>
      <c r="AJ74" s="12" t="n">
        <v>466.65</v>
      </c>
      <c r="AK74" s="8" t="n">
        <v>17</v>
      </c>
      <c r="AL74" s="10" t="n">
        <v>0.3</v>
      </c>
      <c r="AM74" s="8" t="s">
        <v>74</v>
      </c>
      <c r="AN74" s="12" t="n">
        <v>48</v>
      </c>
      <c r="AO74" s="8" t="s">
        <v>74</v>
      </c>
      <c r="AP74" s="8" t="s">
        <v>74</v>
      </c>
      <c r="AQ74" s="10" t="n">
        <v>1</v>
      </c>
      <c r="AR74" s="8" t="n">
        <v>2</v>
      </c>
      <c r="AS74" s="8" t="n">
        <v>1</v>
      </c>
      <c r="AT74" s="8" t="n">
        <v>0</v>
      </c>
      <c r="AU74" s="8" t="n">
        <v>0</v>
      </c>
      <c r="AV74" s="8" t="n">
        <v>0</v>
      </c>
      <c r="AW74" s="8" t="n">
        <v>0</v>
      </c>
      <c r="AX74" s="8" t="n">
        <v>0</v>
      </c>
      <c r="AY74" s="8" t="n">
        <v>3</v>
      </c>
      <c r="AZ74" s="8" t="n">
        <v>3</v>
      </c>
      <c r="BA74" s="8" t="n">
        <v>3</v>
      </c>
      <c r="BB74" s="8" t="n">
        <v>1</v>
      </c>
      <c r="BC74" s="8" t="n">
        <v>0</v>
      </c>
      <c r="BD74" s="8" t="n">
        <v>0</v>
      </c>
      <c r="BE74" s="8" t="n">
        <v>3</v>
      </c>
      <c r="BF74" s="8" t="n">
        <v>1</v>
      </c>
      <c r="BG74" s="8" t="n">
        <v>0</v>
      </c>
      <c r="BH74" s="8" t="n">
        <v>0</v>
      </c>
      <c r="BI74" s="8"/>
      <c r="BJ74" s="9" t="n">
        <v>6</v>
      </c>
      <c r="BK74" s="9" t="n">
        <v>0</v>
      </c>
      <c r="BL74" s="9" t="n">
        <v>0</v>
      </c>
      <c r="BM74" s="9" t="n">
        <v>1</v>
      </c>
      <c r="BN74" s="10" t="n">
        <v>0.8</v>
      </c>
      <c r="BO74" s="10" t="n">
        <v>0</v>
      </c>
      <c r="BP74" s="10" t="n">
        <f aca="false">IF(AND(ISNUMBER(BN74),ISNUMBER(BO74)),BN74+BO74,"")</f>
        <v>0.8</v>
      </c>
      <c r="BQ74" s="10" t="n">
        <v>0</v>
      </c>
      <c r="BR74" s="10" t="n">
        <v>0.2</v>
      </c>
      <c r="BS74" s="10" t="n">
        <v>0</v>
      </c>
    </row>
    <row r="75" customFormat="false" ht="15" hidden="false" customHeight="false" outlineLevel="0" collapsed="false">
      <c r="A75" s="8" t="s">
        <v>112</v>
      </c>
      <c r="B75" s="8" t="s">
        <v>119</v>
      </c>
      <c r="C75" s="8" t="n">
        <v>2</v>
      </c>
      <c r="D75" s="9" t="n">
        <v>446</v>
      </c>
      <c r="E75" s="9" t="n">
        <v>316</v>
      </c>
      <c r="F75" s="8" t="s">
        <v>92</v>
      </c>
      <c r="G75" s="8" t="s">
        <v>74</v>
      </c>
      <c r="H75" s="10" t="n">
        <v>0</v>
      </c>
      <c r="I75" s="10" t="n">
        <v>0.006</v>
      </c>
      <c r="J75" s="10" t="n">
        <v>0.03</v>
      </c>
      <c r="K75" s="8" t="n">
        <v>0</v>
      </c>
      <c r="L75" s="8" t="n">
        <v>15</v>
      </c>
      <c r="M75" s="10" t="n">
        <v>0.002</v>
      </c>
      <c r="N75" s="8" t="n">
        <v>0</v>
      </c>
      <c r="O75" s="9" t="n">
        <v>21</v>
      </c>
      <c r="P75" s="10" t="n">
        <f aca="false">IF(AND(ISNUMBER(O75),ISNUMBER(D75),D75&gt;0),O75/D75,"")</f>
        <v>0.047085201793722</v>
      </c>
      <c r="Q75" s="9" t="n">
        <v>6</v>
      </c>
      <c r="R75" s="9" t="n">
        <v>6</v>
      </c>
      <c r="S75" s="9" t="n">
        <v>71</v>
      </c>
      <c r="T75" s="11" t="n">
        <f aca="false">IF(AND(ISNUMBER(S75),ISNUMBER(D75),D75&gt;0),S75/D75,"")</f>
        <v>0.159192825112108</v>
      </c>
      <c r="U75" s="10" t="n">
        <v>0.056</v>
      </c>
      <c r="V75" s="10" t="n">
        <v>0.12</v>
      </c>
      <c r="W75" s="10" t="n">
        <v>0.08</v>
      </c>
      <c r="X75" s="10"/>
      <c r="Y75" s="8" t="n">
        <v>0</v>
      </c>
      <c r="Z75" s="8" t="s">
        <v>74</v>
      </c>
      <c r="AA75" s="8" t="n">
        <v>41</v>
      </c>
      <c r="AB75" s="8" t="n">
        <v>1</v>
      </c>
      <c r="AC75" s="11" t="n">
        <f aca="false">IF(AND(ISNUMBER(AA75),ISNUMBER(D75),D75&gt;0),AA75/D75*100,"")</f>
        <v>9.19282511210762</v>
      </c>
      <c r="AD75" s="12" t="n">
        <v>1500</v>
      </c>
      <c r="AE75" s="8" t="s">
        <v>74</v>
      </c>
      <c r="AF75" s="8" t="s">
        <v>77</v>
      </c>
      <c r="AG75" s="12" t="n">
        <v>264.15</v>
      </c>
      <c r="AH75" s="12" t="n">
        <v>361.36</v>
      </c>
      <c r="AI75" s="12" t="n">
        <v>524.07</v>
      </c>
      <c r="AJ75" s="12" t="n">
        <v>784</v>
      </c>
      <c r="AK75" s="8" t="n">
        <v>26</v>
      </c>
      <c r="AL75" s="10" t="n">
        <v>0.5</v>
      </c>
      <c r="AM75" s="8" t="s">
        <v>74</v>
      </c>
      <c r="AN75" s="12" t="n">
        <v>42</v>
      </c>
      <c r="AO75" s="8" t="s">
        <v>74</v>
      </c>
      <c r="AP75" s="8" t="s">
        <v>74</v>
      </c>
      <c r="AQ75" s="10" t="n">
        <v>0.8</v>
      </c>
      <c r="AR75" s="8" t="n">
        <v>1</v>
      </c>
      <c r="AS75" s="8"/>
      <c r="AT75" s="8"/>
      <c r="AU75" s="8"/>
      <c r="AV75" s="8" t="n">
        <v>1</v>
      </c>
      <c r="AW75" s="8"/>
      <c r="AX75" s="8" t="n">
        <v>1</v>
      </c>
      <c r="AY75" s="8" t="n">
        <v>1</v>
      </c>
      <c r="AZ75" s="8" t="n">
        <v>1</v>
      </c>
      <c r="BA75" s="8" t="n">
        <v>1</v>
      </c>
      <c r="BB75" s="8" t="n">
        <v>3</v>
      </c>
      <c r="BC75" s="8" t="n">
        <v>1</v>
      </c>
      <c r="BD75" s="8" t="n">
        <v>2</v>
      </c>
      <c r="BE75" s="8" t="n">
        <v>2</v>
      </c>
      <c r="BF75" s="8" t="n">
        <v>2</v>
      </c>
      <c r="BG75" s="8" t="n">
        <v>1</v>
      </c>
      <c r="BH75" s="8" t="n">
        <v>3</v>
      </c>
      <c r="BI75" s="8" t="n">
        <v>2</v>
      </c>
      <c r="BJ75" s="9" t="n">
        <v>3</v>
      </c>
      <c r="BK75" s="9" t="n">
        <v>0</v>
      </c>
      <c r="BL75" s="9" t="n">
        <v>3</v>
      </c>
      <c r="BM75" s="9" t="n">
        <v>2</v>
      </c>
      <c r="BN75" s="10" t="n">
        <v>0</v>
      </c>
      <c r="BO75" s="10" t="n">
        <v>0.1</v>
      </c>
      <c r="BP75" s="10" t="n">
        <f aca="false">IF(AND(ISNUMBER(BN75),ISNUMBER(BO75)),BN75+BO75,"")</f>
        <v>0.1</v>
      </c>
      <c r="BQ75" s="10" t="n">
        <v>0.2</v>
      </c>
      <c r="BR75" s="10" t="n">
        <v>0.3</v>
      </c>
      <c r="BS75" s="10" t="n">
        <v>0.7</v>
      </c>
    </row>
    <row r="76" customFormat="false" ht="15" hidden="false" customHeight="false" outlineLevel="0" collapsed="false">
      <c r="A76" s="8" t="s">
        <v>113</v>
      </c>
      <c r="B76" s="8" t="s">
        <v>119</v>
      </c>
      <c r="C76" s="8" t="n">
        <v>2</v>
      </c>
      <c r="D76" s="9" t="n">
        <v>94</v>
      </c>
      <c r="E76" s="9" t="n">
        <v>52</v>
      </c>
      <c r="F76" s="8" t="s">
        <v>76</v>
      </c>
      <c r="G76" s="8" t="s">
        <v>77</v>
      </c>
      <c r="H76" s="10" t="n">
        <v>0.3</v>
      </c>
      <c r="I76" s="10" t="n">
        <v>0.108</v>
      </c>
      <c r="J76" s="10" t="n">
        <v>0.003</v>
      </c>
      <c r="K76" s="8" t="n">
        <v>0</v>
      </c>
      <c r="L76" s="8" t="n">
        <v>3</v>
      </c>
      <c r="M76" s="10" t="n">
        <v>0.01</v>
      </c>
      <c r="N76" s="8" t="n">
        <v>0</v>
      </c>
      <c r="O76" s="9" t="n">
        <v>11</v>
      </c>
      <c r="P76" s="10" t="n">
        <f aca="false">IF(AND(ISNUMBER(O76),ISNUMBER(D76),D76&gt;0),O76/D76,"")</f>
        <v>0.117021276595745</v>
      </c>
      <c r="Q76" s="9" t="n">
        <v>12</v>
      </c>
      <c r="R76" s="9" t="n">
        <v>12</v>
      </c>
      <c r="S76" s="9" t="n">
        <v>85</v>
      </c>
      <c r="T76" s="11" t="n">
        <f aca="false">IF(AND(ISNUMBER(S76),ISNUMBER(D76),D76&gt;0),S76/D76,"")</f>
        <v>0.904255319148936</v>
      </c>
      <c r="U76" s="10" t="n">
        <v>0.1</v>
      </c>
      <c r="V76" s="10"/>
      <c r="W76" s="10"/>
      <c r="X76" s="10" t="n">
        <v>0.1</v>
      </c>
      <c r="Y76" s="8" t="n">
        <v>0</v>
      </c>
      <c r="Z76" s="8" t="s">
        <v>77</v>
      </c>
      <c r="AA76" s="8" t="n">
        <v>0</v>
      </c>
      <c r="AB76" s="8" t="n">
        <v>0</v>
      </c>
      <c r="AC76" s="11" t="n">
        <f aca="false">IF(AND(ISNUMBER(AA76),ISNUMBER(D76),D76&gt;0),AA76/D76*100,"")</f>
        <v>0</v>
      </c>
      <c r="AD76" s="12"/>
      <c r="AE76" s="8" t="s">
        <v>74</v>
      </c>
      <c r="AF76" s="8" t="s">
        <v>74</v>
      </c>
      <c r="AG76" s="12" t="n">
        <v>261.2</v>
      </c>
      <c r="AH76" s="12" t="n">
        <v>261.2</v>
      </c>
      <c r="AI76" s="12" t="n">
        <v>351.26</v>
      </c>
      <c r="AJ76" s="12" t="n">
        <v>523.61</v>
      </c>
      <c r="AK76" s="8" t="n">
        <v>15</v>
      </c>
      <c r="AL76" s="10" t="n">
        <v>0.25</v>
      </c>
      <c r="AM76" s="8" t="s">
        <v>74</v>
      </c>
      <c r="AN76" s="12" t="n">
        <v>45</v>
      </c>
      <c r="AO76" s="8" t="s">
        <v>77</v>
      </c>
      <c r="AP76" s="8" t="s">
        <v>74</v>
      </c>
      <c r="AQ76" s="10"/>
      <c r="AR76" s="8" t="n">
        <v>3</v>
      </c>
      <c r="AS76" s="8" t="n">
        <v>3</v>
      </c>
      <c r="AT76" s="8" t="n">
        <v>3</v>
      </c>
      <c r="AU76" s="8"/>
      <c r="AV76" s="8"/>
      <c r="AW76" s="8" t="n">
        <v>2</v>
      </c>
      <c r="AX76" s="8" t="n">
        <v>2</v>
      </c>
      <c r="AY76" s="8" t="n">
        <v>3</v>
      </c>
      <c r="AZ76" s="8" t="n">
        <v>2</v>
      </c>
      <c r="BA76" s="8" t="n">
        <v>2</v>
      </c>
      <c r="BB76" s="8" t="n">
        <v>2</v>
      </c>
      <c r="BC76" s="8" t="n">
        <v>2</v>
      </c>
      <c r="BD76" s="8" t="n">
        <v>2</v>
      </c>
      <c r="BE76" s="8" t="n">
        <v>3</v>
      </c>
      <c r="BF76" s="8" t="n">
        <v>2</v>
      </c>
      <c r="BG76" s="8" t="n">
        <v>2</v>
      </c>
      <c r="BH76" s="8" t="n">
        <v>2</v>
      </c>
      <c r="BI76" s="8" t="n">
        <v>2</v>
      </c>
      <c r="BJ76" s="9" t="n">
        <v>8</v>
      </c>
      <c r="BK76" s="9" t="n">
        <v>2</v>
      </c>
      <c r="BL76" s="9" t="n">
        <v>1</v>
      </c>
      <c r="BM76" s="9" t="n">
        <v>0</v>
      </c>
      <c r="BN76" s="10" t="n">
        <v>0.1</v>
      </c>
      <c r="BO76" s="10" t="n">
        <v>0.4</v>
      </c>
      <c r="BP76" s="10" t="n">
        <f aca="false">IF(AND(ISNUMBER(BN76),ISNUMBER(BO76)),BN76+BO76,"")</f>
        <v>0.5</v>
      </c>
      <c r="BQ76" s="10" t="n">
        <v>0.2</v>
      </c>
      <c r="BR76" s="10" t="n">
        <v>0.4</v>
      </c>
      <c r="BS76" s="10" t="n">
        <v>0</v>
      </c>
    </row>
    <row r="77" customFormat="false" ht="15" hidden="false" customHeight="false" outlineLevel="0" collapsed="false">
      <c r="A77" s="8" t="s">
        <v>114</v>
      </c>
      <c r="B77" s="8" t="s">
        <v>119</v>
      </c>
      <c r="C77" s="8" t="n">
        <v>2</v>
      </c>
      <c r="D77" s="9" t="n">
        <v>1440</v>
      </c>
      <c r="E77" s="9" t="n">
        <v>415</v>
      </c>
      <c r="F77" s="8" t="s">
        <v>81</v>
      </c>
      <c r="G77" s="8" t="s">
        <v>74</v>
      </c>
      <c r="H77" s="10" t="n">
        <v>0</v>
      </c>
      <c r="I77" s="10" t="n">
        <v>0.065</v>
      </c>
      <c r="J77" s="10" t="n">
        <v>0.019</v>
      </c>
      <c r="K77" s="8" t="n">
        <v>0</v>
      </c>
      <c r="L77" s="8" t="n">
        <v>15</v>
      </c>
      <c r="M77" s="10" t="n">
        <v>0.014</v>
      </c>
      <c r="N77" s="8" t="n">
        <v>0</v>
      </c>
      <c r="O77" s="9" t="n">
        <v>187</v>
      </c>
      <c r="P77" s="10" t="n">
        <f aca="false">IF(AND(ISNUMBER(O77),ISNUMBER(D77),D77&gt;0),O77/D77,"")</f>
        <v>0.129861111111111</v>
      </c>
      <c r="Q77" s="9"/>
      <c r="R77" s="9" t="n">
        <v>147</v>
      </c>
      <c r="S77" s="9" t="n">
        <v>1369</v>
      </c>
      <c r="T77" s="11" t="n">
        <f aca="false">IF(AND(ISNUMBER(S77),ISNUMBER(D77),D77&gt;0),S77/D77,"")</f>
        <v>0.950694444444444</v>
      </c>
      <c r="U77" s="10" t="n">
        <v>0.07</v>
      </c>
      <c r="V77" s="10" t="n">
        <v>0.09</v>
      </c>
      <c r="W77" s="10" t="n">
        <v>0.09</v>
      </c>
      <c r="X77" s="10" t="n">
        <v>0.1</v>
      </c>
      <c r="Y77" s="8" t="n">
        <v>0</v>
      </c>
      <c r="Z77" s="8" t="s">
        <v>74</v>
      </c>
      <c r="AA77" s="8" t="n">
        <v>41</v>
      </c>
      <c r="AB77" s="8" t="n">
        <v>1</v>
      </c>
      <c r="AC77" s="11" t="n">
        <f aca="false">IF(AND(ISNUMBER(AA77),ISNUMBER(D77),D77&gt;0),AA77/D77*100,"")</f>
        <v>2.84722222222222</v>
      </c>
      <c r="AD77" s="12" t="n">
        <v>1000</v>
      </c>
      <c r="AE77" s="8" t="s">
        <v>74</v>
      </c>
      <c r="AF77" s="8" t="s">
        <v>77</v>
      </c>
      <c r="AG77" s="12" t="n">
        <v>323.61</v>
      </c>
      <c r="AH77" s="12" t="n">
        <v>374.38</v>
      </c>
      <c r="AI77" s="12" t="n">
        <v>393.1</v>
      </c>
      <c r="AJ77" s="12" t="n">
        <v>412.75</v>
      </c>
      <c r="AK77" s="8" t="n">
        <v>15</v>
      </c>
      <c r="AL77" s="10" t="n">
        <v>0.25</v>
      </c>
      <c r="AM77" s="8" t="s">
        <v>74</v>
      </c>
      <c r="AN77" s="12" t="n">
        <v>22</v>
      </c>
      <c r="AO77" s="8" t="s">
        <v>77</v>
      </c>
      <c r="AP77" s="8" t="s">
        <v>74</v>
      </c>
      <c r="AQ77" s="10" t="n">
        <v>0.85</v>
      </c>
      <c r="AR77" s="8" t="n">
        <v>4</v>
      </c>
      <c r="AS77" s="8" t="n">
        <v>5</v>
      </c>
      <c r="AT77" s="8" t="n">
        <v>1</v>
      </c>
      <c r="AU77" s="8" t="n">
        <v>3</v>
      </c>
      <c r="AV77" s="8" t="n">
        <v>3</v>
      </c>
      <c r="AW77" s="8" t="n">
        <v>3</v>
      </c>
      <c r="AX77" s="8" t="n">
        <v>2</v>
      </c>
      <c r="AY77" s="8" t="n">
        <v>3</v>
      </c>
      <c r="AZ77" s="8" t="n">
        <v>1</v>
      </c>
      <c r="BA77" s="8" t="n">
        <v>2</v>
      </c>
      <c r="BB77" s="8" t="n">
        <v>4</v>
      </c>
      <c r="BC77" s="8" t="n">
        <v>3</v>
      </c>
      <c r="BD77" s="8" t="n">
        <v>4</v>
      </c>
      <c r="BE77" s="8" t="n">
        <v>2</v>
      </c>
      <c r="BF77" s="8" t="n">
        <v>3</v>
      </c>
      <c r="BG77" s="8" t="n">
        <v>1</v>
      </c>
      <c r="BH77" s="8" t="n">
        <v>5</v>
      </c>
      <c r="BI77" s="8" t="n">
        <v>5</v>
      </c>
      <c r="BJ77" s="9" t="n">
        <v>124</v>
      </c>
      <c r="BK77" s="9" t="n">
        <v>49</v>
      </c>
      <c r="BL77" s="9" t="n">
        <v>16</v>
      </c>
      <c r="BM77" s="9" t="n">
        <v>25</v>
      </c>
      <c r="BN77" s="10" t="n">
        <v>0.2</v>
      </c>
      <c r="BO77" s="10" t="n">
        <v>0.2</v>
      </c>
      <c r="BP77" s="10" t="n">
        <f aca="false">IF(AND(ISNUMBER(BN77),ISNUMBER(BO77)),BN77+BO77,"")</f>
        <v>0.4</v>
      </c>
      <c r="BQ77" s="10" t="n">
        <v>0.3</v>
      </c>
      <c r="BR77" s="10" t="n">
        <v>0.2</v>
      </c>
      <c r="BS77" s="10" t="n">
        <v>0.1</v>
      </c>
    </row>
    <row r="78" customFormat="false" ht="15" hidden="false" customHeight="false" outlineLevel="0" collapsed="false">
      <c r="A78" s="8" t="s">
        <v>115</v>
      </c>
      <c r="B78" s="8" t="s">
        <v>119</v>
      </c>
      <c r="C78" s="8" t="n">
        <v>2</v>
      </c>
      <c r="D78" s="9" t="n">
        <v>945</v>
      </c>
      <c r="E78" s="9" t="n">
        <v>500</v>
      </c>
      <c r="F78" s="8" t="s">
        <v>92</v>
      </c>
      <c r="G78" s="8" t="s">
        <v>74</v>
      </c>
      <c r="H78" s="10"/>
      <c r="I78" s="10" t="n">
        <v>0.003</v>
      </c>
      <c r="J78" s="10" t="n">
        <v>0.001</v>
      </c>
      <c r="K78" s="8" t="n">
        <v>0</v>
      </c>
      <c r="L78" s="8" t="n">
        <v>30</v>
      </c>
      <c r="M78" s="10" t="n">
        <v>0.003</v>
      </c>
      <c r="N78" s="8" t="n">
        <v>0</v>
      </c>
      <c r="O78" s="9" t="n">
        <v>20</v>
      </c>
      <c r="P78" s="10" t="n">
        <f aca="false">IF(AND(ISNUMBER(O78),ISNUMBER(D78),D78&gt;0),O78/D78,"")</f>
        <v>0.0211640211640212</v>
      </c>
      <c r="Q78" s="9" t="n">
        <v>18</v>
      </c>
      <c r="R78" s="9" t="n">
        <v>18</v>
      </c>
      <c r="S78" s="9" t="n">
        <v>93</v>
      </c>
      <c r="T78" s="11" t="n">
        <f aca="false">IF(AND(ISNUMBER(S78),ISNUMBER(D78),D78&gt;0),S78/D78,"")</f>
        <v>0.0984126984126984</v>
      </c>
      <c r="U78" s="10" t="n">
        <v>0.07</v>
      </c>
      <c r="V78" s="10" t="n">
        <v>0.105</v>
      </c>
      <c r="W78" s="10" t="n">
        <v>0.11</v>
      </c>
      <c r="X78" s="10" t="n">
        <v>0.055</v>
      </c>
      <c r="Y78" s="8" t="n">
        <v>0</v>
      </c>
      <c r="Z78" s="8" t="s">
        <v>74</v>
      </c>
      <c r="AA78" s="8" t="n">
        <v>1</v>
      </c>
      <c r="AB78" s="8" t="n">
        <v>0</v>
      </c>
      <c r="AC78" s="11" t="n">
        <f aca="false">IF(AND(ISNUMBER(AA78),ISNUMBER(D78),D78&gt;0),AA78/D78*100,"")</f>
        <v>0.105820105820106</v>
      </c>
      <c r="AD78" s="12" t="n">
        <v>0</v>
      </c>
      <c r="AE78" s="8" t="s">
        <v>77</v>
      </c>
      <c r="AF78" s="8" t="s">
        <v>74</v>
      </c>
      <c r="AG78" s="12" t="n">
        <v>326.16</v>
      </c>
      <c r="AH78" s="12" t="n">
        <v>455.5</v>
      </c>
      <c r="AI78" s="12" t="n">
        <v>625.87</v>
      </c>
      <c r="AJ78" s="12" t="n">
        <v>738.66</v>
      </c>
      <c r="AK78" s="8" t="n">
        <v>40</v>
      </c>
      <c r="AL78" s="10" t="n">
        <v>0.9</v>
      </c>
      <c r="AM78" s="8" t="s">
        <v>74</v>
      </c>
      <c r="AN78" s="12" t="n">
        <v>52</v>
      </c>
      <c r="AO78" s="8" t="s">
        <v>74</v>
      </c>
      <c r="AP78" s="8" t="s">
        <v>74</v>
      </c>
      <c r="AQ78" s="10" t="n">
        <v>0.3</v>
      </c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9" t="n">
        <v>12</v>
      </c>
      <c r="BK78" s="9" t="n">
        <v>1</v>
      </c>
      <c r="BL78" s="9" t="n">
        <v>2</v>
      </c>
      <c r="BM78" s="9" t="n">
        <v>4</v>
      </c>
      <c r="BN78" s="10" t="n">
        <v>0</v>
      </c>
      <c r="BO78" s="10" t="n">
        <v>0</v>
      </c>
      <c r="BP78" s="10" t="n">
        <f aca="false">IF(AND(ISNUMBER(BN78),ISNUMBER(BO78)),BN78+BO78,"")</f>
        <v>0</v>
      </c>
      <c r="BQ78" s="10" t="n">
        <v>0.1</v>
      </c>
      <c r="BR78" s="10" t="n">
        <v>0.6</v>
      </c>
      <c r="BS78" s="10" t="n">
        <v>0.3</v>
      </c>
    </row>
    <row r="79" customFormat="false" ht="15" hidden="false" customHeight="false" outlineLevel="0" collapsed="false">
      <c r="A79" s="8" t="s">
        <v>116</v>
      </c>
      <c r="B79" s="8" t="s">
        <v>119</v>
      </c>
      <c r="C79" s="8" t="n">
        <v>2</v>
      </c>
      <c r="D79" s="9" t="n">
        <v>2896</v>
      </c>
      <c r="E79" s="9" t="n">
        <v>468</v>
      </c>
      <c r="F79" s="8" t="s">
        <v>73</v>
      </c>
      <c r="G79" s="8" t="s">
        <v>74</v>
      </c>
      <c r="H79" s="10" t="n">
        <v>0.1</v>
      </c>
      <c r="I79" s="10" t="n">
        <v>0.02</v>
      </c>
      <c r="J79" s="10" t="n">
        <v>0.015</v>
      </c>
      <c r="K79" s="8" t="n">
        <v>0</v>
      </c>
      <c r="L79" s="8" t="n">
        <v>15</v>
      </c>
      <c r="M79" s="10" t="n">
        <v>0.04</v>
      </c>
      <c r="N79" s="8" t="n">
        <v>0</v>
      </c>
      <c r="O79" s="9" t="n">
        <v>376</v>
      </c>
      <c r="P79" s="10" t="n">
        <f aca="false">IF(AND(ISNUMBER(O79),ISNUMBER(D79),D79&gt;0),O79/D79,"")</f>
        <v>0.129834254143646</v>
      </c>
      <c r="Q79" s="9" t="n">
        <v>42</v>
      </c>
      <c r="R79" s="9" t="n">
        <v>211</v>
      </c>
      <c r="S79" s="9" t="n">
        <v>2434</v>
      </c>
      <c r="T79" s="11" t="n">
        <f aca="false">IF(AND(ISNUMBER(S79),ISNUMBER(D79),D79&gt;0),S79/D79,"")</f>
        <v>0.840469613259669</v>
      </c>
      <c r="U79" s="10" t="n">
        <v>0.06</v>
      </c>
      <c r="V79" s="10" t="n">
        <v>0.1</v>
      </c>
      <c r="W79" s="10" t="n">
        <v>0.06</v>
      </c>
      <c r="X79" s="10"/>
      <c r="Y79" s="8" t="n">
        <v>0</v>
      </c>
      <c r="Z79" s="8" t="s">
        <v>74</v>
      </c>
      <c r="AA79" s="8" t="n">
        <v>41</v>
      </c>
      <c r="AB79" s="8" t="n">
        <v>1</v>
      </c>
      <c r="AC79" s="11" t="n">
        <f aca="false">IF(AND(ISNUMBER(AA79),ISNUMBER(D79),D79&gt;0),AA79/D79*100,"")</f>
        <v>1.41574585635359</v>
      </c>
      <c r="AD79" s="12" t="n">
        <v>580</v>
      </c>
      <c r="AE79" s="8" t="s">
        <v>74</v>
      </c>
      <c r="AF79" s="8" t="s">
        <v>77</v>
      </c>
      <c r="AG79" s="12" t="n">
        <v>329</v>
      </c>
      <c r="AH79" s="12" t="n">
        <v>329</v>
      </c>
      <c r="AI79" s="12" t="n">
        <v>338</v>
      </c>
      <c r="AJ79" s="12" t="n">
        <v>346</v>
      </c>
      <c r="AK79" s="8" t="n">
        <v>20</v>
      </c>
      <c r="AL79" s="10" t="n">
        <v>0.6</v>
      </c>
      <c r="AM79" s="8" t="s">
        <v>77</v>
      </c>
      <c r="AN79" s="12"/>
      <c r="AO79" s="8" t="s">
        <v>74</v>
      </c>
      <c r="AP79" s="8" t="s">
        <v>74</v>
      </c>
      <c r="AQ79" s="10" t="n">
        <v>0.9</v>
      </c>
      <c r="AR79" s="8" t="n">
        <v>3</v>
      </c>
      <c r="AS79" s="8" t="n">
        <v>3</v>
      </c>
      <c r="AT79" s="8"/>
      <c r="AU79" s="8"/>
      <c r="AV79" s="8"/>
      <c r="AW79" s="8"/>
      <c r="AX79" s="8"/>
      <c r="AY79" s="8"/>
      <c r="AZ79" s="8"/>
      <c r="BA79" s="8" t="n">
        <v>3</v>
      </c>
      <c r="BB79" s="8"/>
      <c r="BC79" s="8"/>
      <c r="BD79" s="8"/>
      <c r="BE79" s="8"/>
      <c r="BF79" s="8"/>
      <c r="BG79" s="8"/>
      <c r="BH79" s="8" t="n">
        <v>3</v>
      </c>
      <c r="BI79" s="8" t="n">
        <v>3</v>
      </c>
      <c r="BJ79" s="9" t="n">
        <v>210</v>
      </c>
      <c r="BK79" s="9" t="n">
        <v>9</v>
      </c>
      <c r="BL79" s="9" t="n">
        <v>82</v>
      </c>
      <c r="BM79" s="9" t="n">
        <v>48</v>
      </c>
      <c r="BN79" s="10" t="n">
        <v>0.3</v>
      </c>
      <c r="BO79" s="10" t="n">
        <v>0.3</v>
      </c>
      <c r="BP79" s="10" t="n">
        <f aca="false">IF(AND(ISNUMBER(BN79),ISNUMBER(BO79)),BN79+BO79,"")</f>
        <v>0.6</v>
      </c>
      <c r="BQ79" s="10" t="n">
        <v>0.2</v>
      </c>
      <c r="BR79" s="10" t="n">
        <v>0.1</v>
      </c>
      <c r="BS79" s="10" t="n">
        <v>0.1</v>
      </c>
    </row>
    <row r="80" customFormat="false" ht="15" hidden="false" customHeight="false" outlineLevel="0" collapsed="false">
      <c r="A80" s="8" t="s">
        <v>117</v>
      </c>
      <c r="B80" s="8" t="s">
        <v>119</v>
      </c>
      <c r="C80" s="8" t="n">
        <v>2</v>
      </c>
      <c r="D80" s="9" t="n">
        <v>1272</v>
      </c>
      <c r="E80" s="9" t="n">
        <v>358</v>
      </c>
      <c r="F80" s="8" t="s">
        <v>92</v>
      </c>
      <c r="G80" s="8" t="s">
        <v>74</v>
      </c>
      <c r="H80" s="10" t="n">
        <v>0.8</v>
      </c>
      <c r="I80" s="10"/>
      <c r="J80" s="10" t="n">
        <v>0.032</v>
      </c>
      <c r="K80" s="8" t="n">
        <v>0</v>
      </c>
      <c r="L80" s="8" t="n">
        <v>7</v>
      </c>
      <c r="M80" s="10" t="n">
        <v>0.15</v>
      </c>
      <c r="N80" s="8" t="n">
        <v>1</v>
      </c>
      <c r="O80" s="9" t="n">
        <v>70</v>
      </c>
      <c r="P80" s="10" t="n">
        <f aca="false">IF(AND(ISNUMBER(O80),ISNUMBER(D80),D80&gt;0),O80/D80,"")</f>
        <v>0.0550314465408805</v>
      </c>
      <c r="Q80" s="9" t="n">
        <v>276</v>
      </c>
      <c r="R80" s="9" t="n">
        <v>26</v>
      </c>
      <c r="S80" s="9" t="n">
        <v>2324</v>
      </c>
      <c r="T80" s="11" t="n">
        <f aca="false">IF(AND(ISNUMBER(S80),ISNUMBER(D80),D80&gt;0),S80/D80,"")</f>
        <v>1.82704402515723</v>
      </c>
      <c r="U80" s="10" t="n">
        <v>0.058</v>
      </c>
      <c r="V80" s="10" t="n">
        <v>0.095</v>
      </c>
      <c r="W80" s="10" t="n">
        <v>0.11</v>
      </c>
      <c r="X80" s="10" t="n">
        <v>0.065</v>
      </c>
      <c r="Y80" s="8" t="n">
        <v>0</v>
      </c>
      <c r="Z80" s="8" t="s">
        <v>74</v>
      </c>
      <c r="AA80" s="8" t="n">
        <v>23</v>
      </c>
      <c r="AB80" s="8" t="n">
        <v>0</v>
      </c>
      <c r="AC80" s="11" t="n">
        <f aca="false">IF(AND(ISNUMBER(AA80),ISNUMBER(D80),D80&gt;0),AA80/D80*100,"")</f>
        <v>1.80817610062893</v>
      </c>
      <c r="AD80" s="12" t="n">
        <v>4355</v>
      </c>
      <c r="AE80" s="8" t="s">
        <v>74</v>
      </c>
      <c r="AF80" s="8" t="s">
        <v>77</v>
      </c>
      <c r="AG80" s="12" t="n">
        <v>301.05</v>
      </c>
      <c r="AH80" s="12" t="n">
        <v>340.12</v>
      </c>
      <c r="AI80" s="12" t="n">
        <v>510.32</v>
      </c>
      <c r="AJ80" s="12" t="n">
        <v>514.25</v>
      </c>
      <c r="AK80" s="8" t="n">
        <v>26</v>
      </c>
      <c r="AL80" s="10" t="n">
        <v>0.7</v>
      </c>
      <c r="AM80" s="8" t="s">
        <v>74</v>
      </c>
      <c r="AN80" s="12" t="n">
        <v>42</v>
      </c>
      <c r="AO80" s="8" t="s">
        <v>77</v>
      </c>
      <c r="AP80" s="8" t="s">
        <v>74</v>
      </c>
      <c r="AQ80" s="10" t="n">
        <v>0.97</v>
      </c>
      <c r="AR80" s="8" t="n">
        <v>4</v>
      </c>
      <c r="AS80" s="8" t="n">
        <v>0</v>
      </c>
      <c r="AT80" s="8" t="n">
        <v>1</v>
      </c>
      <c r="AU80" s="8" t="n">
        <v>3</v>
      </c>
      <c r="AV80" s="8" t="n">
        <v>2</v>
      </c>
      <c r="AW80" s="8" t="n">
        <v>1</v>
      </c>
      <c r="AX80" s="8" t="n">
        <v>1</v>
      </c>
      <c r="AY80" s="8" t="n">
        <v>2</v>
      </c>
      <c r="AZ80" s="8" t="n">
        <v>1</v>
      </c>
      <c r="BA80" s="8" t="n">
        <v>1</v>
      </c>
      <c r="BB80" s="8" t="n">
        <v>4</v>
      </c>
      <c r="BC80" s="8" t="n">
        <v>4</v>
      </c>
      <c r="BD80" s="8" t="n">
        <v>3</v>
      </c>
      <c r="BE80" s="8" t="n">
        <v>2</v>
      </c>
      <c r="BF80" s="8" t="n">
        <v>2</v>
      </c>
      <c r="BG80" s="8" t="n">
        <v>1</v>
      </c>
      <c r="BH80" s="8" t="n">
        <v>3</v>
      </c>
      <c r="BI80" s="8" t="n">
        <v>5</v>
      </c>
      <c r="BJ80" s="9" t="n">
        <v>39</v>
      </c>
      <c r="BK80" s="9"/>
      <c r="BL80" s="9"/>
      <c r="BM80" s="9" t="n">
        <v>1</v>
      </c>
      <c r="BN80" s="10" t="n">
        <v>0</v>
      </c>
      <c r="BO80" s="10" t="n">
        <v>0.5</v>
      </c>
      <c r="BP80" s="10" t="n">
        <f aca="false">IF(AND(ISNUMBER(BN80),ISNUMBER(BO80)),BN80+BO80,"")</f>
        <v>0.5</v>
      </c>
      <c r="BQ80" s="10" t="n">
        <v>0.3</v>
      </c>
      <c r="BR80" s="10" t="n">
        <v>0.1</v>
      </c>
      <c r="BS80" s="10" t="n">
        <v>0.1</v>
      </c>
    </row>
    <row r="81" customFormat="false" ht="15" hidden="false" customHeight="false" outlineLevel="0" collapsed="false">
      <c r="A81" s="8" t="s">
        <v>118</v>
      </c>
      <c r="B81" s="8" t="s">
        <v>119</v>
      </c>
      <c r="C81" s="8" t="n">
        <v>2</v>
      </c>
      <c r="D81" s="9" t="n">
        <v>338</v>
      </c>
      <c r="E81" s="9" t="n">
        <v>97</v>
      </c>
      <c r="F81" s="8" t="s">
        <v>73</v>
      </c>
      <c r="G81" s="8" t="s">
        <v>74</v>
      </c>
      <c r="H81" s="10" t="n">
        <v>0.1</v>
      </c>
      <c r="I81" s="10" t="n">
        <v>0.025</v>
      </c>
      <c r="J81" s="10"/>
      <c r="K81" s="8" t="n">
        <v>0</v>
      </c>
      <c r="L81" s="8"/>
      <c r="M81" s="10" t="n">
        <v>0.026</v>
      </c>
      <c r="N81" s="8" t="n">
        <v>0</v>
      </c>
      <c r="O81" s="9"/>
      <c r="P81" s="10" t="str">
        <f aca="false">IF(AND(ISNUMBER(O81),ISNUMBER(D81),D81&gt;0),O81/D81,"")</f>
        <v/>
      </c>
      <c r="Q81" s="9" t="n">
        <v>2</v>
      </c>
      <c r="R81" s="9" t="n">
        <v>2</v>
      </c>
      <c r="S81" s="9" t="n">
        <v>9</v>
      </c>
      <c r="T81" s="11" t="n">
        <f aca="false">IF(AND(ISNUMBER(S81),ISNUMBER(D81),D81&gt;0),S81/D81,"")</f>
        <v>0.0266272189349112</v>
      </c>
      <c r="U81" s="10" t="n">
        <v>0.08</v>
      </c>
      <c r="V81" s="10" t="n">
        <v>0.12</v>
      </c>
      <c r="W81" s="10" t="n">
        <v>0.095</v>
      </c>
      <c r="X81" s="10"/>
      <c r="Y81" s="8" t="n">
        <v>0</v>
      </c>
      <c r="Z81" s="8" t="s">
        <v>74</v>
      </c>
      <c r="AA81" s="8" t="n">
        <v>24</v>
      </c>
      <c r="AB81" s="8" t="n">
        <v>0</v>
      </c>
      <c r="AC81" s="11" t="n">
        <f aca="false">IF(AND(ISNUMBER(AA81),ISNUMBER(D81),D81&gt;0),AA81/D81*100,"")</f>
        <v>7.10059171597633</v>
      </c>
      <c r="AD81" s="12" t="n">
        <v>0</v>
      </c>
      <c r="AE81" s="8" t="s">
        <v>77</v>
      </c>
      <c r="AF81" s="8" t="s">
        <v>77</v>
      </c>
      <c r="AG81" s="12" t="n">
        <v>373</v>
      </c>
      <c r="AH81" s="12" t="n">
        <v>393</v>
      </c>
      <c r="AI81" s="12" t="n">
        <v>465</v>
      </c>
      <c r="AJ81" s="12" t="n">
        <v>560</v>
      </c>
      <c r="AK81" s="8" t="n">
        <v>23</v>
      </c>
      <c r="AL81" s="10" t="n">
        <v>0.7</v>
      </c>
      <c r="AM81" s="8" t="s">
        <v>74</v>
      </c>
      <c r="AN81" s="12" t="n">
        <v>34</v>
      </c>
      <c r="AO81" s="8" t="s">
        <v>77</v>
      </c>
      <c r="AP81" s="8" t="s">
        <v>74</v>
      </c>
      <c r="AQ81" s="10" t="n">
        <v>0.8</v>
      </c>
      <c r="AR81" s="8" t="n">
        <v>2</v>
      </c>
      <c r="AS81" s="8" t="n">
        <v>1</v>
      </c>
      <c r="AT81" s="8" t="n">
        <v>1</v>
      </c>
      <c r="AU81" s="8" t="n">
        <v>2</v>
      </c>
      <c r="AV81" s="8" t="n">
        <v>3</v>
      </c>
      <c r="AW81" s="8" t="n">
        <v>2</v>
      </c>
      <c r="AX81" s="8" t="n">
        <v>1</v>
      </c>
      <c r="AY81" s="8" t="n">
        <v>1</v>
      </c>
      <c r="AZ81" s="8" t="n">
        <v>1</v>
      </c>
      <c r="BA81" s="8" t="n">
        <v>1</v>
      </c>
      <c r="BB81" s="8" t="n">
        <v>3</v>
      </c>
      <c r="BC81" s="8" t="n">
        <v>2</v>
      </c>
      <c r="BD81" s="8" t="n">
        <v>1</v>
      </c>
      <c r="BE81" s="8" t="n">
        <v>1</v>
      </c>
      <c r="BF81" s="8" t="n">
        <v>2</v>
      </c>
      <c r="BG81" s="8" t="n">
        <v>2</v>
      </c>
      <c r="BH81" s="8" t="n">
        <v>3</v>
      </c>
      <c r="BI81" s="8" t="n">
        <v>1</v>
      </c>
      <c r="BJ81" s="9" t="n">
        <v>1</v>
      </c>
      <c r="BK81" s="9"/>
      <c r="BL81" s="9"/>
      <c r="BM81" s="9"/>
      <c r="BN81" s="10"/>
      <c r="BO81" s="10"/>
      <c r="BP81" s="10" t="str">
        <f aca="false">IF(AND(ISNUMBER(BN81),ISNUMBER(BO81)),BN81+BO81,"")</f>
        <v/>
      </c>
      <c r="BQ81" s="10"/>
      <c r="BR81" s="10"/>
      <c r="BS81" s="10"/>
    </row>
    <row r="82" customFormat="false" ht="15" hidden="false" customHeight="false" outlineLevel="0" collapsed="false">
      <c r="A82" s="8" t="s">
        <v>71</v>
      </c>
      <c r="B82" s="8" t="s">
        <v>120</v>
      </c>
      <c r="C82" s="8" t="n">
        <v>3</v>
      </c>
      <c r="D82" s="9" t="n">
        <v>134</v>
      </c>
      <c r="E82" s="9" t="n">
        <v>23</v>
      </c>
      <c r="F82" s="8" t="s">
        <v>73</v>
      </c>
      <c r="G82" s="8" t="s">
        <v>74</v>
      </c>
      <c r="H82" s="10" t="n">
        <v>0.7</v>
      </c>
      <c r="I82" s="10" t="n">
        <v>0.082</v>
      </c>
      <c r="J82" s="10" t="n">
        <v>0.009</v>
      </c>
      <c r="K82" s="8" t="n">
        <v>0</v>
      </c>
      <c r="L82" s="8"/>
      <c r="M82" s="10" t="n">
        <v>0.02</v>
      </c>
      <c r="N82" s="8" t="n">
        <v>0</v>
      </c>
      <c r="O82" s="9" t="n">
        <v>17</v>
      </c>
      <c r="P82" s="10" t="n">
        <f aca="false">IF(AND(ISNUMBER(O82),ISNUMBER(D82),D82&gt;0),O82/D82,"")</f>
        <v>0.126865671641791</v>
      </c>
      <c r="Q82" s="9"/>
      <c r="R82" s="9" t="n">
        <v>10</v>
      </c>
      <c r="S82" s="9" t="n">
        <v>84</v>
      </c>
      <c r="T82" s="11" t="n">
        <f aca="false">IF(AND(ISNUMBER(S82),ISNUMBER(D82),D82&gt;0),S82/D82,"")</f>
        <v>0.626865671641791</v>
      </c>
      <c r="U82" s="10" t="n">
        <v>0.05</v>
      </c>
      <c r="V82" s="10" t="n">
        <v>0.15</v>
      </c>
      <c r="W82" s="10" t="n">
        <v>0.08</v>
      </c>
      <c r="X82" s="10" t="n">
        <v>0.1</v>
      </c>
      <c r="Y82" s="8" t="n">
        <v>0</v>
      </c>
      <c r="Z82" s="8" t="s">
        <v>74</v>
      </c>
      <c r="AA82" s="8" t="n">
        <v>15</v>
      </c>
      <c r="AB82" s="8" t="n">
        <v>0</v>
      </c>
      <c r="AC82" s="11" t="n">
        <f aca="false">IF(AND(ISNUMBER(AA82),ISNUMBER(D82),D82&gt;0),AA82/D82*100,"")</f>
        <v>11.1940298507463</v>
      </c>
      <c r="AD82" s="12" t="n">
        <v>3600</v>
      </c>
      <c r="AE82" s="8" t="s">
        <v>74</v>
      </c>
      <c r="AF82" s="8" t="s">
        <v>74</v>
      </c>
      <c r="AG82" s="12" t="n">
        <v>248.93</v>
      </c>
      <c r="AH82" s="12" t="n">
        <v>274.23</v>
      </c>
      <c r="AI82" s="12" t="n">
        <v>305.31</v>
      </c>
      <c r="AJ82" s="12" t="n">
        <v>395.61</v>
      </c>
      <c r="AK82" s="8" t="n">
        <v>16</v>
      </c>
      <c r="AL82" s="10" t="n">
        <v>0.25</v>
      </c>
      <c r="AM82" s="8" t="s">
        <v>74</v>
      </c>
      <c r="AN82" s="12" t="n">
        <v>32</v>
      </c>
      <c r="AO82" s="8" t="s">
        <v>74</v>
      </c>
      <c r="AP82" s="8" t="s">
        <v>74</v>
      </c>
      <c r="AQ82" s="10" t="n">
        <v>0.8</v>
      </c>
      <c r="AR82" s="8" t="n">
        <v>5</v>
      </c>
      <c r="AS82" s="8" t="n">
        <v>3</v>
      </c>
      <c r="AT82" s="8" t="n">
        <v>0</v>
      </c>
      <c r="AU82" s="8" t="n">
        <v>0</v>
      </c>
      <c r="AV82" s="8" t="n">
        <v>0</v>
      </c>
      <c r="AW82" s="8" t="n">
        <v>3</v>
      </c>
      <c r="AX82" s="8" t="n">
        <v>2</v>
      </c>
      <c r="AY82" s="8" t="n">
        <v>2</v>
      </c>
      <c r="AZ82" s="8" t="n">
        <v>4</v>
      </c>
      <c r="BA82" s="8" t="n">
        <v>4</v>
      </c>
      <c r="BB82" s="8" t="n">
        <v>3</v>
      </c>
      <c r="BC82" s="8" t="n">
        <v>5</v>
      </c>
      <c r="BD82" s="8" t="n">
        <v>4</v>
      </c>
      <c r="BE82" s="8" t="n">
        <v>4</v>
      </c>
      <c r="BF82" s="8" t="n">
        <v>4</v>
      </c>
      <c r="BG82" s="8" t="n">
        <v>0</v>
      </c>
      <c r="BH82" s="8" t="n">
        <v>5</v>
      </c>
      <c r="BI82" s="8" t="n">
        <v>5</v>
      </c>
      <c r="BJ82" s="9" t="n">
        <v>4</v>
      </c>
      <c r="BK82" s="9" t="n">
        <v>2</v>
      </c>
      <c r="BL82" s="9" t="n">
        <v>5</v>
      </c>
      <c r="BM82" s="9" t="n">
        <v>1</v>
      </c>
      <c r="BN82" s="10" t="n">
        <v>0.2</v>
      </c>
      <c r="BO82" s="10" t="n">
        <v>0.3</v>
      </c>
      <c r="BP82" s="10" t="n">
        <f aca="false">IF(AND(ISNUMBER(BN82),ISNUMBER(BO82)),BN82+BO82,"")</f>
        <v>0.5</v>
      </c>
      <c r="BQ82" s="10" t="n">
        <v>0.3</v>
      </c>
      <c r="BR82" s="10" t="n">
        <v>0.2</v>
      </c>
      <c r="BS82" s="10" t="n">
        <v>0</v>
      </c>
    </row>
    <row r="83" customFormat="false" ht="15" hidden="false" customHeight="false" outlineLevel="0" collapsed="false">
      <c r="A83" s="8" t="s">
        <v>75</v>
      </c>
      <c r="B83" s="8" t="s">
        <v>120</v>
      </c>
      <c r="C83" s="8" t="n">
        <v>3</v>
      </c>
      <c r="D83" s="9" t="n">
        <v>235</v>
      </c>
      <c r="E83" s="9" t="n">
        <v>129</v>
      </c>
      <c r="F83" s="8" t="s">
        <v>76</v>
      </c>
      <c r="G83" s="8" t="s">
        <v>74</v>
      </c>
      <c r="H83" s="10" t="n">
        <v>0.8</v>
      </c>
      <c r="I83" s="10" t="n">
        <v>0.01</v>
      </c>
      <c r="J83" s="10" t="n">
        <v>0.01</v>
      </c>
      <c r="K83" s="8" t="n">
        <v>0</v>
      </c>
      <c r="L83" s="8"/>
      <c r="M83" s="10" t="n">
        <v>0.015</v>
      </c>
      <c r="N83" s="8" t="n">
        <v>0</v>
      </c>
      <c r="O83" s="9" t="n">
        <v>8</v>
      </c>
      <c r="P83" s="10" t="n">
        <f aca="false">IF(AND(ISNUMBER(O83),ISNUMBER(D83),D83&gt;0),O83/D83,"")</f>
        <v>0.0340425531914894</v>
      </c>
      <c r="Q83" s="9"/>
      <c r="R83" s="9" t="n">
        <v>1</v>
      </c>
      <c r="S83" s="9" t="n">
        <v>14</v>
      </c>
      <c r="T83" s="11" t="n">
        <f aca="false">IF(AND(ISNUMBER(S83),ISNUMBER(D83),D83&gt;0),S83/D83,"")</f>
        <v>0.0595744680851064</v>
      </c>
      <c r="U83" s="10" t="n">
        <v>0.08</v>
      </c>
      <c r="V83" s="10" t="n">
        <v>0.11</v>
      </c>
      <c r="W83" s="10" t="n">
        <v>0.085</v>
      </c>
      <c r="X83" s="10" t="n">
        <v>0.03</v>
      </c>
      <c r="Y83" s="8" t="n">
        <v>0</v>
      </c>
      <c r="Z83" s="8" t="s">
        <v>74</v>
      </c>
      <c r="AA83" s="8" t="n">
        <v>22</v>
      </c>
      <c r="AB83" s="8" t="n">
        <v>0</v>
      </c>
      <c r="AC83" s="11" t="n">
        <f aca="false">IF(AND(ISNUMBER(AA83),ISNUMBER(D83),D83&gt;0),AA83/D83*100,"")</f>
        <v>9.36170212765958</v>
      </c>
      <c r="AD83" s="12" t="n">
        <v>2800</v>
      </c>
      <c r="AE83" s="8" t="s">
        <v>74</v>
      </c>
      <c r="AF83" s="8" t="s">
        <v>77</v>
      </c>
      <c r="AG83" s="12" t="n">
        <v>375</v>
      </c>
      <c r="AH83" s="12" t="n">
        <v>432</v>
      </c>
      <c r="AI83" s="12" t="n">
        <v>491</v>
      </c>
      <c r="AJ83" s="12" t="n">
        <v>740</v>
      </c>
      <c r="AK83" s="8" t="n">
        <v>20</v>
      </c>
      <c r="AL83" s="10" t="n">
        <v>1.5</v>
      </c>
      <c r="AM83" s="8" t="s">
        <v>74</v>
      </c>
      <c r="AN83" s="12" t="n">
        <v>29</v>
      </c>
      <c r="AO83" s="8" t="s">
        <v>77</v>
      </c>
      <c r="AP83" s="8" t="s">
        <v>74</v>
      </c>
      <c r="AQ83" s="10" t="n">
        <v>0.8</v>
      </c>
      <c r="AR83" s="8" t="n">
        <v>2</v>
      </c>
      <c r="AS83" s="8" t="n">
        <v>1</v>
      </c>
      <c r="AT83" s="8" t="n">
        <v>1</v>
      </c>
      <c r="AU83" s="8" t="n">
        <v>1</v>
      </c>
      <c r="AV83" s="8" t="n">
        <v>0</v>
      </c>
      <c r="AW83" s="8" t="n">
        <v>0</v>
      </c>
      <c r="AX83" s="8" t="n">
        <v>1</v>
      </c>
      <c r="AY83" s="8" t="n">
        <v>2</v>
      </c>
      <c r="AZ83" s="8" t="n">
        <v>2</v>
      </c>
      <c r="BA83" s="8" t="n">
        <v>2</v>
      </c>
      <c r="BB83" s="8" t="n">
        <v>1</v>
      </c>
      <c r="BC83" s="8" t="n">
        <v>1</v>
      </c>
      <c r="BD83" s="8" t="n">
        <v>0</v>
      </c>
      <c r="BE83" s="8" t="n">
        <v>1</v>
      </c>
      <c r="BF83" s="8" t="n">
        <v>1</v>
      </c>
      <c r="BG83" s="8" t="n">
        <v>0</v>
      </c>
      <c r="BH83" s="8" t="n">
        <v>1</v>
      </c>
      <c r="BI83" s="8" t="n">
        <v>2</v>
      </c>
      <c r="BJ83" s="9" t="n">
        <v>4</v>
      </c>
      <c r="BK83" s="9" t="n">
        <v>0</v>
      </c>
      <c r="BL83" s="9" t="n">
        <v>0</v>
      </c>
      <c r="BM83" s="9" t="n">
        <v>6</v>
      </c>
      <c r="BN83" s="10" t="n">
        <v>0.1</v>
      </c>
      <c r="BO83" s="10" t="n">
        <v>0.1</v>
      </c>
      <c r="BP83" s="10" t="n">
        <f aca="false">IF(AND(ISNUMBER(BN83),ISNUMBER(BO83)),BN83+BO83,"")</f>
        <v>0.2</v>
      </c>
      <c r="BQ83" s="10" t="n">
        <v>0.3</v>
      </c>
      <c r="BR83" s="10" t="n">
        <v>0.3</v>
      </c>
      <c r="BS83" s="10" t="n">
        <v>0.2</v>
      </c>
    </row>
    <row r="84" customFormat="false" ht="15" hidden="false" customHeight="false" outlineLevel="0" collapsed="false">
      <c r="A84" s="8" t="s">
        <v>78</v>
      </c>
      <c r="B84" s="8" t="s">
        <v>120</v>
      </c>
      <c r="C84" s="8" t="n">
        <v>3</v>
      </c>
      <c r="D84" s="9" t="n">
        <v>92</v>
      </c>
      <c r="E84" s="9" t="n">
        <v>60</v>
      </c>
      <c r="F84" s="8" t="s">
        <v>73</v>
      </c>
      <c r="G84" s="8" t="s">
        <v>74</v>
      </c>
      <c r="H84" s="10" t="n">
        <v>0</v>
      </c>
      <c r="I84" s="10" t="n">
        <v>0.004</v>
      </c>
      <c r="J84" s="10" t="n">
        <v>0.036</v>
      </c>
      <c r="K84" s="8" t="n">
        <v>0</v>
      </c>
      <c r="L84" s="8" t="n">
        <v>15</v>
      </c>
      <c r="M84" s="10" t="n">
        <v>0.001</v>
      </c>
      <c r="N84" s="8" t="n">
        <v>0</v>
      </c>
      <c r="O84" s="9" t="n">
        <v>0</v>
      </c>
      <c r="P84" s="10" t="n">
        <f aca="false">IF(AND(ISNUMBER(O84),ISNUMBER(D84),D84&gt;0),O84/D84,"")</f>
        <v>0</v>
      </c>
      <c r="Q84" s="9" t="n">
        <v>1</v>
      </c>
      <c r="R84" s="9"/>
      <c r="S84" s="9" t="n">
        <v>27</v>
      </c>
      <c r="T84" s="11" t="n">
        <f aca="false">IF(AND(ISNUMBER(S84),ISNUMBER(D84),D84&gt;0),S84/D84,"")</f>
        <v>0.293478260869565</v>
      </c>
      <c r="U84" s="10" t="n">
        <v>0.11</v>
      </c>
      <c r="V84" s="10" t="n">
        <v>0.105</v>
      </c>
      <c r="W84" s="10" t="n">
        <v>0.095</v>
      </c>
      <c r="X84" s="10" t="n">
        <v>0.175</v>
      </c>
      <c r="Y84" s="8" t="n">
        <v>0</v>
      </c>
      <c r="Z84" s="8" t="s">
        <v>74</v>
      </c>
      <c r="AA84" s="8" t="n">
        <v>5</v>
      </c>
      <c r="AB84" s="8" t="n">
        <v>0</v>
      </c>
      <c r="AC84" s="11" t="n">
        <f aca="false">IF(AND(ISNUMBER(AA84),ISNUMBER(D84),D84&gt;0),AA84/D84*100,"")</f>
        <v>5.43478260869565</v>
      </c>
      <c r="AD84" s="12" t="n">
        <v>1970</v>
      </c>
      <c r="AE84" s="8" t="s">
        <v>74</v>
      </c>
      <c r="AF84" s="8" t="s">
        <v>74</v>
      </c>
      <c r="AG84" s="12" t="n">
        <v>340</v>
      </c>
      <c r="AH84" s="12" t="n">
        <v>396</v>
      </c>
      <c r="AI84" s="12" t="n">
        <v>430</v>
      </c>
      <c r="AJ84" s="12" t="n">
        <v>641</v>
      </c>
      <c r="AK84" s="8" t="n">
        <v>24</v>
      </c>
      <c r="AL84" s="10" t="n">
        <v>0.45</v>
      </c>
      <c r="AM84" s="8" t="s">
        <v>74</v>
      </c>
      <c r="AN84" s="12" t="n">
        <v>42</v>
      </c>
      <c r="AO84" s="8" t="s">
        <v>77</v>
      </c>
      <c r="AP84" s="8" t="s">
        <v>74</v>
      </c>
      <c r="AQ84" s="10" t="n">
        <v>0.9</v>
      </c>
      <c r="AR84" s="8" t="n">
        <v>1</v>
      </c>
      <c r="AS84" s="8" t="n">
        <v>0</v>
      </c>
      <c r="AT84" s="8" t="n">
        <v>0</v>
      </c>
      <c r="AU84" s="8" t="n">
        <v>1</v>
      </c>
      <c r="AV84" s="8" t="n">
        <v>0</v>
      </c>
      <c r="AW84" s="8" t="n">
        <v>0</v>
      </c>
      <c r="AX84" s="8" t="n">
        <v>0</v>
      </c>
      <c r="AY84" s="8" t="n">
        <v>1</v>
      </c>
      <c r="AZ84" s="8" t="n">
        <v>1</v>
      </c>
      <c r="BA84" s="8" t="n">
        <v>1</v>
      </c>
      <c r="BB84" s="8" t="n">
        <v>1</v>
      </c>
      <c r="BC84" s="8" t="n">
        <v>1</v>
      </c>
      <c r="BD84" s="8" t="n">
        <v>1</v>
      </c>
      <c r="BE84" s="8" t="n">
        <v>0</v>
      </c>
      <c r="BF84" s="8" t="n">
        <v>1</v>
      </c>
      <c r="BG84" s="8" t="n">
        <v>0</v>
      </c>
      <c r="BH84" s="8" t="n">
        <v>1</v>
      </c>
      <c r="BI84" s="8" t="n">
        <v>3</v>
      </c>
      <c r="BJ84" s="9" t="n">
        <v>1</v>
      </c>
      <c r="BK84" s="9" t="n">
        <v>0</v>
      </c>
      <c r="BL84" s="9" t="n">
        <v>0</v>
      </c>
      <c r="BM84" s="9" t="n">
        <v>0</v>
      </c>
      <c r="BN84" s="10" t="n">
        <v>0</v>
      </c>
      <c r="BO84" s="10" t="n">
        <v>0</v>
      </c>
      <c r="BP84" s="10" t="n">
        <f aca="false">IF(AND(ISNUMBER(BN84),ISNUMBER(BO84)),BN84+BO84,"")</f>
        <v>0</v>
      </c>
      <c r="BQ84" s="10" t="n">
        <v>0</v>
      </c>
      <c r="BR84" s="10" t="n">
        <v>1</v>
      </c>
      <c r="BS84" s="10" t="n">
        <v>0</v>
      </c>
    </row>
    <row r="85" customFormat="false" ht="15" hidden="false" customHeight="false" outlineLevel="0" collapsed="false">
      <c r="A85" s="8" t="s">
        <v>79</v>
      </c>
      <c r="B85" s="8" t="s">
        <v>120</v>
      </c>
      <c r="C85" s="8" t="n">
        <v>3</v>
      </c>
      <c r="D85" s="9" t="n">
        <v>12</v>
      </c>
      <c r="E85" s="9" t="n">
        <v>14</v>
      </c>
      <c r="F85" s="8" t="s">
        <v>73</v>
      </c>
      <c r="G85" s="8" t="s">
        <v>77</v>
      </c>
      <c r="H85" s="10" t="n">
        <v>0</v>
      </c>
      <c r="I85" s="10" t="n">
        <v>0.15</v>
      </c>
      <c r="J85" s="10" t="n">
        <v>0.15</v>
      </c>
      <c r="K85" s="8" t="n">
        <v>1</v>
      </c>
      <c r="L85" s="8"/>
      <c r="M85" s="10"/>
      <c r="N85" s="8" t="n">
        <v>0</v>
      </c>
      <c r="O85" s="9" t="n">
        <v>0</v>
      </c>
      <c r="P85" s="10" t="n">
        <f aca="false">IF(AND(ISNUMBER(O85),ISNUMBER(D85),D85&gt;0),O85/D85,"")</f>
        <v>0</v>
      </c>
      <c r="Q85" s="9"/>
      <c r="R85" s="9" t="n">
        <v>1</v>
      </c>
      <c r="S85" s="9" t="n">
        <v>0</v>
      </c>
      <c r="T85" s="11" t="n">
        <f aca="false">IF(AND(ISNUMBER(S85),ISNUMBER(D85),D85&gt;0),S85/D85,"")</f>
        <v>0</v>
      </c>
      <c r="U85" s="10"/>
      <c r="V85" s="10" t="n">
        <v>0.09</v>
      </c>
      <c r="W85" s="10" t="n">
        <v>0.03</v>
      </c>
      <c r="X85" s="10"/>
      <c r="Y85" s="8" t="n">
        <v>0</v>
      </c>
      <c r="Z85" s="8" t="s">
        <v>77</v>
      </c>
      <c r="AA85" s="8" t="n">
        <v>0</v>
      </c>
      <c r="AB85" s="8" t="n">
        <v>0</v>
      </c>
      <c r="AC85" s="11" t="n">
        <f aca="false">IF(AND(ISNUMBER(AA85),ISNUMBER(D85),D85&gt;0),AA85/D85*100,"")</f>
        <v>0</v>
      </c>
      <c r="AD85" s="12"/>
      <c r="AE85" s="8" t="s">
        <v>74</v>
      </c>
      <c r="AF85" s="8" t="s">
        <v>77</v>
      </c>
      <c r="AG85" s="12" t="n">
        <v>248.93</v>
      </c>
      <c r="AH85" s="12" t="n">
        <v>248.93</v>
      </c>
      <c r="AI85" s="12" t="n">
        <v>288.11</v>
      </c>
      <c r="AJ85" s="12" t="n">
        <v>325.34</v>
      </c>
      <c r="AK85" s="8" t="n">
        <v>15</v>
      </c>
      <c r="AL85" s="10" t="n">
        <v>1</v>
      </c>
      <c r="AM85" s="8" t="s">
        <v>77</v>
      </c>
      <c r="AN85" s="12"/>
      <c r="AO85" s="8" t="s">
        <v>77</v>
      </c>
      <c r="AP85" s="8" t="s">
        <v>77</v>
      </c>
      <c r="AQ85" s="10"/>
      <c r="AR85" s="8" t="n">
        <v>3</v>
      </c>
      <c r="AS85" s="8" t="n">
        <v>3</v>
      </c>
      <c r="AT85" s="8" t="n">
        <v>3</v>
      </c>
      <c r="AU85" s="8" t="n">
        <v>3</v>
      </c>
      <c r="AV85" s="8" t="n">
        <v>2</v>
      </c>
      <c r="AW85" s="8" t="n">
        <v>0</v>
      </c>
      <c r="AX85" s="8" t="n">
        <v>0</v>
      </c>
      <c r="AY85" s="8" t="n">
        <v>0</v>
      </c>
      <c r="AZ85" s="8" t="n">
        <v>0</v>
      </c>
      <c r="BA85" s="8" t="n">
        <v>0</v>
      </c>
      <c r="BB85" s="8" t="n">
        <v>0</v>
      </c>
      <c r="BC85" s="8" t="n">
        <v>0</v>
      </c>
      <c r="BD85" s="8" t="n">
        <v>0</v>
      </c>
      <c r="BE85" s="8" t="n">
        <v>0</v>
      </c>
      <c r="BF85" s="8" t="n">
        <v>0</v>
      </c>
      <c r="BG85" s="8"/>
      <c r="BH85" s="8" t="n">
        <v>0</v>
      </c>
      <c r="BI85" s="8" t="n">
        <v>0</v>
      </c>
      <c r="BJ85" s="9" t="n">
        <v>1</v>
      </c>
      <c r="BK85" s="9" t="n">
        <v>0</v>
      </c>
      <c r="BL85" s="9" t="n">
        <v>0</v>
      </c>
      <c r="BM85" s="9" t="n">
        <v>0</v>
      </c>
      <c r="BN85" s="10" t="n">
        <v>0</v>
      </c>
      <c r="BO85" s="10" t="n">
        <v>0</v>
      </c>
      <c r="BP85" s="10" t="n">
        <f aca="false">IF(AND(ISNUMBER(BN85),ISNUMBER(BO85)),BN85+BO85,"")</f>
        <v>0</v>
      </c>
      <c r="BQ85" s="10" t="n">
        <v>1</v>
      </c>
      <c r="BR85" s="10" t="n">
        <v>0</v>
      </c>
      <c r="BS85" s="10" t="n">
        <v>0</v>
      </c>
    </row>
    <row r="86" customFormat="false" ht="15" hidden="false" customHeight="false" outlineLevel="0" collapsed="false">
      <c r="A86" s="8" t="s">
        <v>80</v>
      </c>
      <c r="B86" s="8" t="s">
        <v>120</v>
      </c>
      <c r="C86" s="8" t="n">
        <v>3</v>
      </c>
      <c r="D86" s="9" t="n">
        <v>116</v>
      </c>
      <c r="E86" s="9" t="n">
        <v>44</v>
      </c>
      <c r="F86" s="8" t="s">
        <v>81</v>
      </c>
      <c r="G86" s="8" t="s">
        <v>74</v>
      </c>
      <c r="H86" s="10" t="n">
        <v>0</v>
      </c>
      <c r="I86" s="10" t="n">
        <v>0.01</v>
      </c>
      <c r="J86" s="10" t="n">
        <v>0.003</v>
      </c>
      <c r="K86" s="8" t="n">
        <v>0</v>
      </c>
      <c r="L86" s="8" t="n">
        <v>15</v>
      </c>
      <c r="M86" s="10" t="n">
        <v>0.003</v>
      </c>
      <c r="N86" s="8" t="n">
        <v>0</v>
      </c>
      <c r="O86" s="9" t="n">
        <v>5</v>
      </c>
      <c r="P86" s="10" t="n">
        <f aca="false">IF(AND(ISNUMBER(O86),ISNUMBER(D86),D86&gt;0),O86/D86,"")</f>
        <v>0.0431034482758621</v>
      </c>
      <c r="Q86" s="9" t="n">
        <v>0</v>
      </c>
      <c r="R86" s="9" t="n">
        <v>0</v>
      </c>
      <c r="S86" s="9" t="n">
        <v>52</v>
      </c>
      <c r="T86" s="11" t="n">
        <f aca="false">IF(AND(ISNUMBER(S86),ISNUMBER(D86),D86&gt;0),S86/D86,"")</f>
        <v>0.448275862068966</v>
      </c>
      <c r="U86" s="10" t="n">
        <v>0.087</v>
      </c>
      <c r="V86" s="10" t="n">
        <v>0.09</v>
      </c>
      <c r="W86" s="10" t="n">
        <v>0.06</v>
      </c>
      <c r="X86" s="10" t="n">
        <v>0.045</v>
      </c>
      <c r="Y86" s="8" t="n">
        <v>0</v>
      </c>
      <c r="Z86" s="8" t="s">
        <v>74</v>
      </c>
      <c r="AA86" s="8" t="n">
        <v>11</v>
      </c>
      <c r="AB86" s="8" t="n">
        <v>0</v>
      </c>
      <c r="AC86" s="11" t="n">
        <f aca="false">IF(AND(ISNUMBER(AA86),ISNUMBER(D86),D86&gt;0),AA86/D86*100,"")</f>
        <v>9.48275862068966</v>
      </c>
      <c r="AD86" s="12" t="n">
        <v>1250</v>
      </c>
      <c r="AE86" s="8" t="s">
        <v>74</v>
      </c>
      <c r="AF86" s="8" t="s">
        <v>77</v>
      </c>
      <c r="AG86" s="12" t="n">
        <v>278.8</v>
      </c>
      <c r="AH86" s="12" t="n">
        <v>295.66</v>
      </c>
      <c r="AI86" s="12" t="n">
        <v>336.35</v>
      </c>
      <c r="AJ86" s="12" t="n">
        <v>374.33</v>
      </c>
      <c r="AK86" s="8" t="n">
        <v>18</v>
      </c>
      <c r="AL86" s="10" t="n">
        <v>0.5</v>
      </c>
      <c r="AM86" s="8" t="s">
        <v>77</v>
      </c>
      <c r="AN86" s="12"/>
      <c r="AO86" s="8" t="s">
        <v>77</v>
      </c>
      <c r="AP86" s="8" t="s">
        <v>74</v>
      </c>
      <c r="AQ86" s="10" t="n">
        <v>0.8</v>
      </c>
      <c r="AR86" s="8" t="n">
        <v>2</v>
      </c>
      <c r="AS86" s="8" t="n">
        <v>1</v>
      </c>
      <c r="AT86" s="8" t="n">
        <v>0</v>
      </c>
      <c r="AU86" s="8" t="n">
        <v>1</v>
      </c>
      <c r="AV86" s="8" t="n">
        <v>2</v>
      </c>
      <c r="AW86" s="8" t="n">
        <v>2</v>
      </c>
      <c r="AX86" s="8" t="n">
        <v>2</v>
      </c>
      <c r="AY86" s="8" t="n">
        <v>1</v>
      </c>
      <c r="AZ86" s="8" t="n">
        <v>2</v>
      </c>
      <c r="BA86" s="8" t="n">
        <v>2</v>
      </c>
      <c r="BB86" s="8" t="n">
        <v>1</v>
      </c>
      <c r="BC86" s="8" t="n">
        <v>3</v>
      </c>
      <c r="BD86" s="8" t="n">
        <v>1</v>
      </c>
      <c r="BE86" s="8" t="n">
        <v>1</v>
      </c>
      <c r="BF86" s="8" t="n">
        <v>1</v>
      </c>
      <c r="BG86" s="8" t="n">
        <v>1</v>
      </c>
      <c r="BH86" s="8" t="n">
        <v>4</v>
      </c>
      <c r="BI86" s="8" t="n">
        <v>1</v>
      </c>
      <c r="BJ86" s="9" t="n">
        <v>3</v>
      </c>
      <c r="BK86" s="9" t="n">
        <v>0</v>
      </c>
      <c r="BL86" s="9" t="n">
        <v>0</v>
      </c>
      <c r="BM86" s="9" t="n">
        <v>3</v>
      </c>
      <c r="BN86" s="10" t="n">
        <v>0</v>
      </c>
      <c r="BO86" s="10" t="n">
        <v>0.2</v>
      </c>
      <c r="BP86" s="10" t="n">
        <f aca="false">IF(AND(ISNUMBER(BN86),ISNUMBER(BO86)),BN86+BO86,"")</f>
        <v>0.2</v>
      </c>
      <c r="BQ86" s="10" t="n">
        <v>0.7</v>
      </c>
      <c r="BR86" s="10" t="n">
        <v>0.1</v>
      </c>
      <c r="BS86" s="10" t="n">
        <v>0</v>
      </c>
    </row>
    <row r="87" customFormat="false" ht="15" hidden="false" customHeight="false" outlineLevel="0" collapsed="false">
      <c r="A87" s="8" t="s">
        <v>82</v>
      </c>
      <c r="B87" s="8" t="s">
        <v>120</v>
      </c>
      <c r="C87" s="8" t="n">
        <v>3</v>
      </c>
      <c r="D87" s="9" t="n">
        <v>219</v>
      </c>
      <c r="E87" s="9" t="n">
        <v>143</v>
      </c>
      <c r="F87" s="8" t="s">
        <v>76</v>
      </c>
      <c r="G87" s="8" t="s">
        <v>74</v>
      </c>
      <c r="H87" s="10" t="n">
        <v>0</v>
      </c>
      <c r="I87" s="10" t="n">
        <v>0.055</v>
      </c>
      <c r="J87" s="10" t="n">
        <v>0.043</v>
      </c>
      <c r="K87" s="8" t="n">
        <v>0</v>
      </c>
      <c r="L87" s="8" t="n">
        <v>15</v>
      </c>
      <c r="M87" s="10" t="n">
        <v>0.15</v>
      </c>
      <c r="N87" s="8" t="n">
        <v>1</v>
      </c>
      <c r="O87" s="9" t="n">
        <v>12</v>
      </c>
      <c r="P87" s="10" t="n">
        <f aca="false">IF(AND(ISNUMBER(O87),ISNUMBER(D87),D87&gt;0),O87/D87,"")</f>
        <v>0.0547945205479452</v>
      </c>
      <c r="Q87" s="9" t="n">
        <v>25</v>
      </c>
      <c r="R87" s="9" t="n">
        <v>22</v>
      </c>
      <c r="S87" s="9" t="n">
        <v>319</v>
      </c>
      <c r="T87" s="11" t="n">
        <f aca="false">IF(AND(ISNUMBER(S87),ISNUMBER(D87),D87&gt;0),S87/D87,"")</f>
        <v>1.45662100456621</v>
      </c>
      <c r="U87" s="10" t="n">
        <v>0.12</v>
      </c>
      <c r="V87" s="10" t="n">
        <v>0.12</v>
      </c>
      <c r="W87" s="10" t="n">
        <v>0.1</v>
      </c>
      <c r="X87" s="10" t="n">
        <v>0.02</v>
      </c>
      <c r="Y87" s="8" t="n">
        <v>0</v>
      </c>
      <c r="Z87" s="8" t="s">
        <v>74</v>
      </c>
      <c r="AA87" s="8" t="n">
        <v>5</v>
      </c>
      <c r="AB87" s="8" t="n">
        <v>0</v>
      </c>
      <c r="AC87" s="11" t="n">
        <f aca="false">IF(AND(ISNUMBER(AA87),ISNUMBER(D87),D87&gt;0),AA87/D87*100,"")</f>
        <v>2.28310502283105</v>
      </c>
      <c r="AD87" s="12" t="n">
        <v>858.8</v>
      </c>
      <c r="AE87" s="8" t="s">
        <v>74</v>
      </c>
      <c r="AF87" s="8" t="s">
        <v>77</v>
      </c>
      <c r="AG87" s="12" t="n">
        <v>320.8</v>
      </c>
      <c r="AH87" s="12" t="n">
        <v>350.96</v>
      </c>
      <c r="AI87" s="12" t="n">
        <v>391.2</v>
      </c>
      <c r="AJ87" s="12" t="n">
        <v>426.76</v>
      </c>
      <c r="AK87" s="8" t="n">
        <v>15</v>
      </c>
      <c r="AL87" s="10" t="n">
        <v>0.25</v>
      </c>
      <c r="AM87" s="8" t="s">
        <v>74</v>
      </c>
      <c r="AN87" s="12" t="n">
        <v>75</v>
      </c>
      <c r="AO87" s="8" t="s">
        <v>74</v>
      </c>
      <c r="AP87" s="8" t="s">
        <v>74</v>
      </c>
      <c r="AQ87" s="10" t="n">
        <v>0.7</v>
      </c>
      <c r="AR87" s="8" t="n">
        <v>3</v>
      </c>
      <c r="AS87" s="8" t="n">
        <v>2</v>
      </c>
      <c r="AT87" s="8" t="n">
        <v>1</v>
      </c>
      <c r="AU87" s="8" t="n">
        <v>0</v>
      </c>
      <c r="AV87" s="8" t="n">
        <v>3</v>
      </c>
      <c r="AW87" s="8" t="n">
        <v>4</v>
      </c>
      <c r="AX87" s="8" t="n">
        <v>2</v>
      </c>
      <c r="AY87" s="8" t="n">
        <v>1</v>
      </c>
      <c r="AZ87" s="8" t="n">
        <v>4</v>
      </c>
      <c r="BA87" s="8" t="n">
        <v>2</v>
      </c>
      <c r="BB87" s="8" t="n">
        <v>1</v>
      </c>
      <c r="BC87" s="8" t="n">
        <v>2</v>
      </c>
      <c r="BD87" s="8" t="n">
        <v>1</v>
      </c>
      <c r="BE87" s="8" t="n">
        <v>3</v>
      </c>
      <c r="BF87" s="8" t="n">
        <v>1</v>
      </c>
      <c r="BG87" s="8" t="n">
        <v>0</v>
      </c>
      <c r="BH87" s="8" t="n">
        <v>3</v>
      </c>
      <c r="BI87" s="8" t="n">
        <v>3</v>
      </c>
      <c r="BJ87" s="9" t="n">
        <v>1</v>
      </c>
      <c r="BK87" s="9"/>
      <c r="BL87" s="9" t="n">
        <v>8</v>
      </c>
      <c r="BM87" s="9" t="n">
        <v>4</v>
      </c>
      <c r="BN87" s="10" t="n">
        <v>0</v>
      </c>
      <c r="BO87" s="10" t="n">
        <v>0.5</v>
      </c>
      <c r="BP87" s="10" t="n">
        <f aca="false">IF(AND(ISNUMBER(BN87),ISNUMBER(BO87)),BN87+BO87,"")</f>
        <v>0.5</v>
      </c>
      <c r="BQ87" s="10" t="n">
        <v>0.3</v>
      </c>
      <c r="BR87" s="10" t="n">
        <v>0.1</v>
      </c>
      <c r="BS87" s="10" t="n">
        <v>0.1</v>
      </c>
    </row>
    <row r="88" customFormat="false" ht="15" hidden="false" customHeight="false" outlineLevel="0" collapsed="false">
      <c r="A88" s="8" t="s">
        <v>83</v>
      </c>
      <c r="B88" s="8" t="s">
        <v>120</v>
      </c>
      <c r="C88" s="8" t="n">
        <v>3</v>
      </c>
      <c r="D88" s="9" t="n">
        <v>1398</v>
      </c>
      <c r="E88" s="9" t="n">
        <v>914</v>
      </c>
      <c r="F88" s="8" t="s">
        <v>76</v>
      </c>
      <c r="G88" s="8" t="s">
        <v>74</v>
      </c>
      <c r="H88" s="10" t="n">
        <v>0.8</v>
      </c>
      <c r="I88" s="10" t="n">
        <v>0.017</v>
      </c>
      <c r="J88" s="10" t="n">
        <v>0.021</v>
      </c>
      <c r="K88" s="8" t="n">
        <v>0</v>
      </c>
      <c r="L88" s="8"/>
      <c r="M88" s="10" t="n">
        <v>0.009</v>
      </c>
      <c r="N88" s="8" t="n">
        <v>0</v>
      </c>
      <c r="O88" s="9" t="n">
        <v>66</v>
      </c>
      <c r="P88" s="10" t="n">
        <f aca="false">IF(AND(ISNUMBER(O88),ISNUMBER(D88),D88&gt;0),O88/D88,"")</f>
        <v>0.0472103004291846</v>
      </c>
      <c r="Q88" s="9" t="n">
        <v>0</v>
      </c>
      <c r="R88" s="9" t="n">
        <v>0</v>
      </c>
      <c r="S88" s="9" t="n">
        <v>554</v>
      </c>
      <c r="T88" s="11" t="n">
        <f aca="false">IF(AND(ISNUMBER(S88),ISNUMBER(D88),D88&gt;0),S88/D88,"")</f>
        <v>0.396280400572246</v>
      </c>
      <c r="U88" s="10" t="n">
        <v>0.09</v>
      </c>
      <c r="V88" s="10" t="n">
        <v>0.06</v>
      </c>
      <c r="W88" s="10" t="n">
        <v>0.11</v>
      </c>
      <c r="X88" s="10" t="n">
        <v>0.03</v>
      </c>
      <c r="Y88" s="8" t="n">
        <v>0</v>
      </c>
      <c r="Z88" s="8" t="s">
        <v>74</v>
      </c>
      <c r="AA88" s="8" t="n">
        <v>15</v>
      </c>
      <c r="AB88" s="8" t="n">
        <v>0</v>
      </c>
      <c r="AC88" s="11" t="n">
        <f aca="false">IF(AND(ISNUMBER(AA88),ISNUMBER(D88),D88&gt;0),AA88/D88*100,"")</f>
        <v>1.07296137339056</v>
      </c>
      <c r="AD88" s="12" t="n">
        <v>2000</v>
      </c>
      <c r="AE88" s="8" t="s">
        <v>74</v>
      </c>
      <c r="AF88" s="8" t="s">
        <v>74</v>
      </c>
      <c r="AG88" s="12" t="n">
        <v>299.6</v>
      </c>
      <c r="AH88" s="12" t="n">
        <v>346.5</v>
      </c>
      <c r="AI88" s="12" t="n">
        <v>446.8</v>
      </c>
      <c r="AJ88" s="12" t="n">
        <v>584.9</v>
      </c>
      <c r="AK88" s="8" t="n">
        <v>32</v>
      </c>
      <c r="AL88" s="10" t="n">
        <v>0.85</v>
      </c>
      <c r="AM88" s="8" t="s">
        <v>74</v>
      </c>
      <c r="AN88" s="12" t="n">
        <v>13</v>
      </c>
      <c r="AO88" s="8" t="s">
        <v>77</v>
      </c>
      <c r="AP88" s="8" t="s">
        <v>74</v>
      </c>
      <c r="AQ88" s="10" t="n">
        <v>0.64</v>
      </c>
      <c r="AR88" s="8" t="n">
        <v>3</v>
      </c>
      <c r="AS88" s="8" t="n">
        <v>2</v>
      </c>
      <c r="AT88" s="8" t="n">
        <v>1</v>
      </c>
      <c r="AU88" s="8" t="n">
        <v>1</v>
      </c>
      <c r="AV88" s="8" t="n">
        <v>3</v>
      </c>
      <c r="AW88" s="8" t="n">
        <v>1</v>
      </c>
      <c r="AX88" s="8" t="n">
        <v>1</v>
      </c>
      <c r="AY88" s="8" t="n">
        <v>1</v>
      </c>
      <c r="AZ88" s="8" t="n">
        <v>2</v>
      </c>
      <c r="BA88" s="8"/>
      <c r="BB88" s="8" t="n">
        <v>1</v>
      </c>
      <c r="BC88" s="8" t="n">
        <v>1</v>
      </c>
      <c r="BD88" s="8" t="n">
        <v>1</v>
      </c>
      <c r="BE88" s="8" t="n">
        <v>0</v>
      </c>
      <c r="BF88" s="8" t="n">
        <v>2</v>
      </c>
      <c r="BG88" s="8" t="n">
        <v>1</v>
      </c>
      <c r="BH88" s="8" t="n">
        <v>2</v>
      </c>
      <c r="BI88" s="8" t="n">
        <v>3</v>
      </c>
      <c r="BJ88" s="9" t="n">
        <v>12</v>
      </c>
      <c r="BK88" s="9" t="n">
        <v>2</v>
      </c>
      <c r="BL88" s="9" t="n">
        <v>10</v>
      </c>
      <c r="BM88" s="9" t="n">
        <v>9</v>
      </c>
      <c r="BN88" s="10" t="n">
        <v>0.2</v>
      </c>
      <c r="BO88" s="10" t="n">
        <v>0.1</v>
      </c>
      <c r="BP88" s="10" t="n">
        <f aca="false">IF(AND(ISNUMBER(BN88),ISNUMBER(BO88)),BN88+BO88,"")</f>
        <v>0.3</v>
      </c>
      <c r="BQ88" s="10" t="n">
        <v>0.1</v>
      </c>
      <c r="BR88" s="10" t="n">
        <v>0.5</v>
      </c>
      <c r="BS88" s="10" t="n">
        <v>0.1</v>
      </c>
    </row>
    <row r="89" customFormat="false" ht="15" hidden="false" customHeight="false" outlineLevel="0" collapsed="false">
      <c r="A89" s="8" t="s">
        <v>84</v>
      </c>
      <c r="B89" s="8" t="s">
        <v>120</v>
      </c>
      <c r="C89" s="8" t="n">
        <v>3</v>
      </c>
      <c r="D89" s="9" t="n">
        <v>203</v>
      </c>
      <c r="E89" s="9" t="n">
        <v>497</v>
      </c>
      <c r="F89" s="8" t="s">
        <v>76</v>
      </c>
      <c r="G89" s="8" t="s">
        <v>74</v>
      </c>
      <c r="H89" s="10" t="n">
        <v>0.7</v>
      </c>
      <c r="I89" s="10" t="n">
        <v>0.018</v>
      </c>
      <c r="J89" s="10" t="n">
        <v>0.027</v>
      </c>
      <c r="K89" s="8" t="n">
        <v>0</v>
      </c>
      <c r="L89" s="8" t="n">
        <v>45</v>
      </c>
      <c r="M89" s="10" t="n">
        <v>0.001</v>
      </c>
      <c r="N89" s="8" t="n">
        <v>0</v>
      </c>
      <c r="O89" s="9" t="n">
        <v>0</v>
      </c>
      <c r="P89" s="10" t="n">
        <f aca="false">IF(AND(ISNUMBER(O89),ISNUMBER(D89),D89&gt;0),O89/D89,"")</f>
        <v>0</v>
      </c>
      <c r="Q89" s="9" t="n">
        <v>9</v>
      </c>
      <c r="R89" s="9" t="n">
        <v>9</v>
      </c>
      <c r="S89" s="9" t="n">
        <v>5</v>
      </c>
      <c r="T89" s="11" t="n">
        <f aca="false">IF(AND(ISNUMBER(S89),ISNUMBER(D89),D89&gt;0),S89/D89,"")</f>
        <v>0.0246305418719212</v>
      </c>
      <c r="U89" s="10" t="n">
        <v>0.065</v>
      </c>
      <c r="V89" s="10" t="n">
        <v>0.06</v>
      </c>
      <c r="W89" s="10" t="n">
        <v>0.06</v>
      </c>
      <c r="X89" s="10" t="n">
        <v>0.04</v>
      </c>
      <c r="Y89" s="8" t="n">
        <v>0</v>
      </c>
      <c r="Z89" s="8" t="s">
        <v>74</v>
      </c>
      <c r="AA89" s="8" t="n">
        <v>20</v>
      </c>
      <c r="AB89" s="8" t="n">
        <v>0</v>
      </c>
      <c r="AC89" s="11" t="n">
        <f aca="false">IF(AND(ISNUMBER(AA89),ISNUMBER(D89),D89&gt;0),AA89/D89*100,"")</f>
        <v>9.85221674876847</v>
      </c>
      <c r="AD89" s="12" t="n">
        <v>1500</v>
      </c>
      <c r="AE89" s="8" t="s">
        <v>74</v>
      </c>
      <c r="AF89" s="8" t="s">
        <v>77</v>
      </c>
      <c r="AG89" s="12" t="n">
        <v>283</v>
      </c>
      <c r="AH89" s="12" t="n">
        <v>326</v>
      </c>
      <c r="AI89" s="12" t="n">
        <v>356</v>
      </c>
      <c r="AJ89" s="12" t="n">
        <v>388</v>
      </c>
      <c r="AK89" s="8" t="n">
        <v>18</v>
      </c>
      <c r="AL89" s="10" t="n">
        <v>0.25</v>
      </c>
      <c r="AM89" s="8" t="s">
        <v>74</v>
      </c>
      <c r="AN89" s="12" t="n">
        <v>70</v>
      </c>
      <c r="AO89" s="8" t="s">
        <v>74</v>
      </c>
      <c r="AP89" s="8"/>
      <c r="AQ89" s="10" t="n">
        <v>0.95</v>
      </c>
      <c r="AR89" s="8" t="n">
        <v>4</v>
      </c>
      <c r="AS89" s="8" t="n">
        <v>1</v>
      </c>
      <c r="AT89" s="8" t="n">
        <v>1</v>
      </c>
      <c r="AU89" s="8" t="n">
        <v>1</v>
      </c>
      <c r="AV89" s="8" t="n">
        <v>1</v>
      </c>
      <c r="AW89" s="8" t="n">
        <v>4</v>
      </c>
      <c r="AX89" s="8" t="n">
        <v>2</v>
      </c>
      <c r="AY89" s="8" t="n">
        <v>1</v>
      </c>
      <c r="AZ89" s="8" t="n">
        <v>3</v>
      </c>
      <c r="BA89" s="8" t="n">
        <v>4</v>
      </c>
      <c r="BB89" s="8" t="n">
        <v>4</v>
      </c>
      <c r="BC89" s="8" t="n">
        <v>5</v>
      </c>
      <c r="BD89" s="8" t="n">
        <v>1</v>
      </c>
      <c r="BE89" s="8" t="n">
        <v>3</v>
      </c>
      <c r="BF89" s="8" t="n">
        <v>3</v>
      </c>
      <c r="BG89" s="8" t="n">
        <v>1</v>
      </c>
      <c r="BH89" s="8" t="n">
        <v>4</v>
      </c>
      <c r="BI89" s="8" t="n">
        <v>5</v>
      </c>
      <c r="BJ89" s="9" t="n">
        <v>0</v>
      </c>
      <c r="BK89" s="9" t="n">
        <v>0</v>
      </c>
      <c r="BL89" s="9" t="n">
        <v>0</v>
      </c>
      <c r="BM89" s="9" t="n">
        <v>0</v>
      </c>
      <c r="BN89" s="10" t="n">
        <v>0</v>
      </c>
      <c r="BO89" s="10" t="n">
        <v>0</v>
      </c>
      <c r="BP89" s="10" t="n">
        <f aca="false">IF(AND(ISNUMBER(BN89),ISNUMBER(BO89)),BN89+BO89,"")</f>
        <v>0</v>
      </c>
      <c r="BQ89" s="10" t="n">
        <v>0</v>
      </c>
      <c r="BR89" s="10" t="n">
        <v>1</v>
      </c>
      <c r="BS89" s="10" t="n">
        <v>0</v>
      </c>
    </row>
    <row r="90" customFormat="false" ht="15" hidden="false" customHeight="false" outlineLevel="0" collapsed="false">
      <c r="A90" s="8" t="s">
        <v>85</v>
      </c>
      <c r="B90" s="8" t="s">
        <v>120</v>
      </c>
      <c r="C90" s="8" t="n">
        <v>3</v>
      </c>
      <c r="D90" s="9" t="n">
        <v>203</v>
      </c>
      <c r="E90" s="9" t="n">
        <v>90</v>
      </c>
      <c r="F90" s="8" t="s">
        <v>81</v>
      </c>
      <c r="G90" s="8" t="s">
        <v>74</v>
      </c>
      <c r="H90" s="10"/>
      <c r="I90" s="10" t="n">
        <v>0.032</v>
      </c>
      <c r="J90" s="10" t="n">
        <v>0.004</v>
      </c>
      <c r="K90" s="8" t="n">
        <v>0</v>
      </c>
      <c r="L90" s="8" t="n">
        <v>4</v>
      </c>
      <c r="M90" s="10" t="n">
        <v>0.02</v>
      </c>
      <c r="N90" s="8" t="n">
        <v>0</v>
      </c>
      <c r="O90" s="9" t="n">
        <v>10</v>
      </c>
      <c r="P90" s="10" t="n">
        <f aca="false">IF(AND(ISNUMBER(O90),ISNUMBER(D90),D90&gt;0),O90/D90,"")</f>
        <v>0.0492610837438424</v>
      </c>
      <c r="Q90" s="9" t="n">
        <v>5</v>
      </c>
      <c r="R90" s="9" t="n">
        <v>5</v>
      </c>
      <c r="S90" s="9" t="n">
        <v>6</v>
      </c>
      <c r="T90" s="11" t="n">
        <f aca="false">IF(AND(ISNUMBER(S90),ISNUMBER(D90),D90&gt;0),S90/D90,"")</f>
        <v>0.0295566502463054</v>
      </c>
      <c r="U90" s="10" t="n">
        <v>0.064</v>
      </c>
      <c r="V90" s="10" t="n">
        <v>0.1</v>
      </c>
      <c r="W90" s="10"/>
      <c r="X90" s="10" t="n">
        <v>0.075</v>
      </c>
      <c r="Y90" s="8" t="n">
        <v>0</v>
      </c>
      <c r="Z90" s="8" t="s">
        <v>74</v>
      </c>
      <c r="AA90" s="8" t="n">
        <v>6</v>
      </c>
      <c r="AB90" s="8" t="n">
        <v>0</v>
      </c>
      <c r="AC90" s="11" t="n">
        <f aca="false">IF(AND(ISNUMBER(AA90),ISNUMBER(D90),D90&gt;0),AA90/D90*100,"")</f>
        <v>2.95566502463054</v>
      </c>
      <c r="AD90" s="12" t="n">
        <v>2528</v>
      </c>
      <c r="AE90" s="8" t="s">
        <v>74</v>
      </c>
      <c r="AF90" s="8" t="s">
        <v>74</v>
      </c>
      <c r="AG90" s="12" t="n">
        <v>367</v>
      </c>
      <c r="AH90" s="12" t="n">
        <v>459</v>
      </c>
      <c r="AI90" s="12" t="n">
        <v>507</v>
      </c>
      <c r="AJ90" s="12" t="n">
        <v>705</v>
      </c>
      <c r="AK90" s="8" t="n">
        <v>33</v>
      </c>
      <c r="AL90" s="10" t="n">
        <v>1</v>
      </c>
      <c r="AM90" s="8" t="s">
        <v>74</v>
      </c>
      <c r="AN90" s="12" t="n">
        <v>21</v>
      </c>
      <c r="AO90" s="8" t="s">
        <v>77</v>
      </c>
      <c r="AP90" s="8" t="s">
        <v>74</v>
      </c>
      <c r="AQ90" s="10" t="n">
        <v>0.7</v>
      </c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9" t="n">
        <v>1</v>
      </c>
      <c r="BK90" s="9" t="n">
        <v>0</v>
      </c>
      <c r="BL90" s="9" t="n">
        <v>3</v>
      </c>
      <c r="BM90" s="9" t="n">
        <v>6</v>
      </c>
      <c r="BN90" s="10"/>
      <c r="BO90" s="10"/>
      <c r="BP90" s="10" t="str">
        <f aca="false">IF(AND(ISNUMBER(BN90),ISNUMBER(BO90)),BN90+BO90,"")</f>
        <v/>
      </c>
      <c r="BQ90" s="10"/>
      <c r="BR90" s="10"/>
      <c r="BS90" s="10"/>
    </row>
    <row r="91" customFormat="false" ht="15" hidden="false" customHeight="false" outlineLevel="0" collapsed="false">
      <c r="A91" s="8" t="s">
        <v>86</v>
      </c>
      <c r="B91" s="8" t="s">
        <v>120</v>
      </c>
      <c r="C91" s="8" t="n">
        <v>3</v>
      </c>
      <c r="D91" s="9" t="n">
        <v>335</v>
      </c>
      <c r="E91" s="9" t="n">
        <v>71</v>
      </c>
      <c r="F91" s="8" t="s">
        <v>76</v>
      </c>
      <c r="G91" s="8" t="s">
        <v>77</v>
      </c>
      <c r="H91" s="10"/>
      <c r="I91" s="10" t="n">
        <v>0.033</v>
      </c>
      <c r="J91" s="10" t="n">
        <v>0.021</v>
      </c>
      <c r="K91" s="8" t="n">
        <v>0</v>
      </c>
      <c r="L91" s="8" t="n">
        <v>15</v>
      </c>
      <c r="M91" s="10" t="n">
        <v>0.025</v>
      </c>
      <c r="N91" s="8" t="n">
        <v>0</v>
      </c>
      <c r="O91" s="9" t="n">
        <v>56</v>
      </c>
      <c r="P91" s="10" t="n">
        <f aca="false">IF(AND(ISNUMBER(O91),ISNUMBER(D91),D91&gt;0),O91/D91,"")</f>
        <v>0.167164179104478</v>
      </c>
      <c r="Q91" s="9" t="n">
        <v>77</v>
      </c>
      <c r="R91" s="9" t="n">
        <v>100</v>
      </c>
      <c r="S91" s="9" t="n">
        <v>222</v>
      </c>
      <c r="T91" s="11" t="n">
        <f aca="false">IF(AND(ISNUMBER(S91),ISNUMBER(D91),D91&gt;0),S91/D91,"")</f>
        <v>0.662686567164179</v>
      </c>
      <c r="U91" s="10" t="n">
        <v>0.04</v>
      </c>
      <c r="V91" s="10"/>
      <c r="W91" s="10"/>
      <c r="X91" s="10" t="n">
        <v>0.1</v>
      </c>
      <c r="Y91" s="8" t="n">
        <v>0</v>
      </c>
      <c r="Z91" s="8" t="s">
        <v>74</v>
      </c>
      <c r="AA91" s="8" t="n">
        <v>5</v>
      </c>
      <c r="AB91" s="8" t="n">
        <v>0</v>
      </c>
      <c r="AC91" s="11" t="n">
        <f aca="false">IF(AND(ISNUMBER(AA91),ISNUMBER(D91),D91&gt;0),AA91/D91*100,"")</f>
        <v>1.49253731343284</v>
      </c>
      <c r="AD91" s="12" t="n">
        <v>270</v>
      </c>
      <c r="AE91" s="8" t="s">
        <v>77</v>
      </c>
      <c r="AF91" s="8" t="s">
        <v>77</v>
      </c>
      <c r="AG91" s="12" t="n">
        <v>288</v>
      </c>
      <c r="AH91" s="12" t="n">
        <v>288</v>
      </c>
      <c r="AI91" s="12" t="n">
        <v>305</v>
      </c>
      <c r="AJ91" s="12" t="n">
        <v>320</v>
      </c>
      <c r="AK91" s="8" t="n">
        <v>20</v>
      </c>
      <c r="AL91" s="10" t="n">
        <v>0.25</v>
      </c>
      <c r="AM91" s="8" t="s">
        <v>74</v>
      </c>
      <c r="AN91" s="12" t="n">
        <v>33</v>
      </c>
      <c r="AO91" s="8" t="s">
        <v>77</v>
      </c>
      <c r="AP91" s="8" t="s">
        <v>77</v>
      </c>
      <c r="AQ91" s="10" t="n">
        <v>0.9</v>
      </c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9" t="n">
        <v>19</v>
      </c>
      <c r="BK91" s="9" t="n">
        <v>0</v>
      </c>
      <c r="BL91" s="9" t="n">
        <v>30</v>
      </c>
      <c r="BM91" s="9" t="n">
        <v>7</v>
      </c>
      <c r="BN91" s="10" t="n">
        <v>0</v>
      </c>
      <c r="BO91" s="10" t="n">
        <v>1</v>
      </c>
      <c r="BP91" s="10" t="n">
        <f aca="false">IF(AND(ISNUMBER(BN91),ISNUMBER(BO91)),BN91+BO91,"")</f>
        <v>1</v>
      </c>
      <c r="BQ91" s="10" t="n">
        <v>0</v>
      </c>
      <c r="BR91" s="10" t="n">
        <v>0</v>
      </c>
      <c r="BS91" s="10" t="n">
        <v>0</v>
      </c>
    </row>
    <row r="92" customFormat="false" ht="15" hidden="false" customHeight="false" outlineLevel="0" collapsed="false">
      <c r="A92" s="8" t="s">
        <v>87</v>
      </c>
      <c r="B92" s="8" t="s">
        <v>120</v>
      </c>
      <c r="C92" s="8" t="n">
        <v>3</v>
      </c>
      <c r="D92" s="9" t="n">
        <v>166</v>
      </c>
      <c r="E92" s="9" t="n">
        <v>92</v>
      </c>
      <c r="F92" s="8" t="s">
        <v>76</v>
      </c>
      <c r="G92" s="8" t="s">
        <v>74</v>
      </c>
      <c r="H92" s="10" t="n">
        <v>0.3</v>
      </c>
      <c r="I92" s="10" t="n">
        <v>0.05</v>
      </c>
      <c r="J92" s="10" t="n">
        <v>0.017</v>
      </c>
      <c r="K92" s="8" t="n">
        <v>0</v>
      </c>
      <c r="L92" s="8" t="n">
        <v>8</v>
      </c>
      <c r="M92" s="10" t="n">
        <v>0.03</v>
      </c>
      <c r="N92" s="8" t="n">
        <v>0</v>
      </c>
      <c r="O92" s="9" t="n">
        <v>21</v>
      </c>
      <c r="P92" s="10" t="n">
        <f aca="false">IF(AND(ISNUMBER(O92),ISNUMBER(D92),D92&gt;0),O92/D92,"")</f>
        <v>0.126506024096386</v>
      </c>
      <c r="Q92" s="9" t="n">
        <v>22</v>
      </c>
      <c r="R92" s="9" t="n">
        <v>22</v>
      </c>
      <c r="S92" s="9" t="n">
        <v>189</v>
      </c>
      <c r="T92" s="11" t="n">
        <f aca="false">IF(AND(ISNUMBER(S92),ISNUMBER(D92),D92&gt;0),S92/D92,"")</f>
        <v>1.13855421686747</v>
      </c>
      <c r="U92" s="10" t="n">
        <v>0.05</v>
      </c>
      <c r="V92" s="10"/>
      <c r="W92" s="10"/>
      <c r="X92" s="10" t="n">
        <v>0.1</v>
      </c>
      <c r="Y92" s="8" t="n">
        <v>0</v>
      </c>
      <c r="Z92" s="8" t="s">
        <v>74</v>
      </c>
      <c r="AA92" s="8" t="n">
        <v>30</v>
      </c>
      <c r="AB92" s="8" t="n">
        <v>0</v>
      </c>
      <c r="AC92" s="11" t="n">
        <f aca="false">IF(AND(ISNUMBER(AA92),ISNUMBER(D92),D92&gt;0),AA92/D92*100,"")</f>
        <v>18.0722891566265</v>
      </c>
      <c r="AD92" s="12" t="n">
        <v>95</v>
      </c>
      <c r="AE92" s="8" t="s">
        <v>74</v>
      </c>
      <c r="AF92" s="8" t="s">
        <v>74</v>
      </c>
      <c r="AG92" s="12" t="n">
        <v>278.8</v>
      </c>
      <c r="AH92" s="12" t="n">
        <v>348</v>
      </c>
      <c r="AI92" s="12" t="n">
        <v>441.72</v>
      </c>
      <c r="AJ92" s="12" t="n">
        <v>441.72</v>
      </c>
      <c r="AK92" s="8" t="n">
        <v>15</v>
      </c>
      <c r="AL92" s="10" t="n">
        <v>0.25</v>
      </c>
      <c r="AM92" s="8" t="s">
        <v>77</v>
      </c>
      <c r="AN92" s="12"/>
      <c r="AO92" s="8" t="s">
        <v>77</v>
      </c>
      <c r="AP92" s="8" t="s">
        <v>74</v>
      </c>
      <c r="AQ92" s="10" t="n">
        <v>0.85</v>
      </c>
      <c r="AR92" s="8" t="n">
        <v>4</v>
      </c>
      <c r="AS92" s="8" t="n">
        <v>3</v>
      </c>
      <c r="AT92" s="8" t="n">
        <v>2</v>
      </c>
      <c r="AU92" s="8" t="n">
        <v>2</v>
      </c>
      <c r="AV92" s="8" t="n">
        <v>2</v>
      </c>
      <c r="AW92" s="8" t="n">
        <v>0</v>
      </c>
      <c r="AX92" s="8" t="n">
        <v>1</v>
      </c>
      <c r="AY92" s="8" t="n">
        <v>3</v>
      </c>
      <c r="AZ92" s="8" t="n">
        <v>1</v>
      </c>
      <c r="BA92" s="8" t="n">
        <v>2</v>
      </c>
      <c r="BB92" s="8" t="n">
        <v>3</v>
      </c>
      <c r="BC92" s="8" t="n">
        <v>3</v>
      </c>
      <c r="BD92" s="8" t="n">
        <v>0</v>
      </c>
      <c r="BE92" s="8" t="n">
        <v>0</v>
      </c>
      <c r="BF92" s="8" t="n">
        <v>1</v>
      </c>
      <c r="BG92" s="8" t="n">
        <v>0</v>
      </c>
      <c r="BH92" s="8" t="n">
        <v>1</v>
      </c>
      <c r="BI92" s="8" t="n">
        <v>2</v>
      </c>
      <c r="BJ92" s="9" t="n">
        <v>9</v>
      </c>
      <c r="BK92" s="9" t="n">
        <v>4</v>
      </c>
      <c r="BL92" s="9" t="n">
        <v>9</v>
      </c>
      <c r="BM92" s="9" t="n">
        <v>8</v>
      </c>
      <c r="BN92" s="10"/>
      <c r="BO92" s="10"/>
      <c r="BP92" s="10" t="str">
        <f aca="false">IF(AND(ISNUMBER(BN92),ISNUMBER(BO92)),BN92+BO92,"")</f>
        <v/>
      </c>
      <c r="BQ92" s="10"/>
      <c r="BR92" s="10"/>
      <c r="BS92" s="10"/>
    </row>
    <row r="93" customFormat="false" ht="15" hidden="false" customHeight="false" outlineLevel="0" collapsed="false">
      <c r="A93" s="8" t="s">
        <v>88</v>
      </c>
      <c r="B93" s="8" t="s">
        <v>120</v>
      </c>
      <c r="C93" s="8" t="n">
        <v>3</v>
      </c>
      <c r="D93" s="9" t="n">
        <v>59</v>
      </c>
      <c r="E93" s="9" t="n">
        <v>38</v>
      </c>
      <c r="F93" s="8" t="s">
        <v>76</v>
      </c>
      <c r="G93" s="8" t="s">
        <v>77</v>
      </c>
      <c r="H93" s="10" t="n">
        <v>0.1</v>
      </c>
      <c r="I93" s="10" t="n">
        <v>0.048</v>
      </c>
      <c r="J93" s="10" t="n">
        <v>0.15</v>
      </c>
      <c r="K93" s="8" t="n">
        <v>1</v>
      </c>
      <c r="L93" s="8" t="n">
        <v>3</v>
      </c>
      <c r="M93" s="10" t="n">
        <v>0.003</v>
      </c>
      <c r="N93" s="8" t="n">
        <v>0</v>
      </c>
      <c r="O93" s="9" t="n">
        <v>5</v>
      </c>
      <c r="P93" s="10" t="n">
        <f aca="false">IF(AND(ISNUMBER(O93),ISNUMBER(D93),D93&gt;0),O93/D93,"")</f>
        <v>0.0847457627118644</v>
      </c>
      <c r="Q93" s="9" t="n">
        <v>2</v>
      </c>
      <c r="R93" s="9" t="n">
        <v>2</v>
      </c>
      <c r="S93" s="9" t="n">
        <v>117</v>
      </c>
      <c r="T93" s="11" t="n">
        <f aca="false">IF(AND(ISNUMBER(S93),ISNUMBER(D93),D93&gt;0),S93/D93,"")</f>
        <v>1.98305084745763</v>
      </c>
      <c r="U93" s="10" t="n">
        <v>0.15</v>
      </c>
      <c r="V93" s="10" t="n">
        <v>0.1</v>
      </c>
      <c r="W93" s="10" t="n">
        <v>0.1</v>
      </c>
      <c r="X93" s="10" t="n">
        <v>0.1</v>
      </c>
      <c r="Y93" s="8" t="n">
        <v>0</v>
      </c>
      <c r="Z93" s="8" t="s">
        <v>77</v>
      </c>
      <c r="AA93" s="8" t="n">
        <v>0</v>
      </c>
      <c r="AB93" s="8" t="n">
        <v>0</v>
      </c>
      <c r="AC93" s="11" t="n">
        <f aca="false">IF(AND(ISNUMBER(AA93),ISNUMBER(D93),D93&gt;0),AA93/D93*100,"")</f>
        <v>0</v>
      </c>
      <c r="AD93" s="12"/>
      <c r="AE93" s="8" t="s">
        <v>74</v>
      </c>
      <c r="AF93" s="8" t="s">
        <v>74</v>
      </c>
      <c r="AG93" s="12" t="n">
        <v>280</v>
      </c>
      <c r="AH93" s="12" t="n">
        <v>300</v>
      </c>
      <c r="AI93" s="12" t="n">
        <v>325</v>
      </c>
      <c r="AJ93" s="12" t="n">
        <v>370</v>
      </c>
      <c r="AK93" s="8" t="n">
        <v>15</v>
      </c>
      <c r="AL93" s="10" t="n">
        <v>0.25</v>
      </c>
      <c r="AM93" s="8" t="s">
        <v>77</v>
      </c>
      <c r="AN93" s="12"/>
      <c r="AO93" s="8" t="s">
        <v>77</v>
      </c>
      <c r="AP93" s="8"/>
      <c r="AQ93" s="10"/>
      <c r="AR93" s="8" t="n">
        <v>5</v>
      </c>
      <c r="AS93" s="8" t="n">
        <v>4</v>
      </c>
      <c r="AT93" s="8" t="n">
        <v>3</v>
      </c>
      <c r="AU93" s="8" t="n">
        <v>5</v>
      </c>
      <c r="AV93" s="8" t="n">
        <v>2</v>
      </c>
      <c r="AW93" s="8" t="n">
        <v>1</v>
      </c>
      <c r="AX93" s="8" t="n">
        <v>1</v>
      </c>
      <c r="AY93" s="8" t="n">
        <v>2</v>
      </c>
      <c r="AZ93" s="8" t="n">
        <v>3</v>
      </c>
      <c r="BA93" s="8" t="n">
        <v>3</v>
      </c>
      <c r="BB93" s="8" t="n">
        <v>3</v>
      </c>
      <c r="BC93" s="8" t="n">
        <v>3</v>
      </c>
      <c r="BD93" s="8" t="n">
        <v>1</v>
      </c>
      <c r="BE93" s="8" t="n">
        <v>3</v>
      </c>
      <c r="BF93" s="8" t="n">
        <v>2</v>
      </c>
      <c r="BG93" s="8" t="n">
        <v>0</v>
      </c>
      <c r="BH93" s="8" t="n">
        <v>0</v>
      </c>
      <c r="BI93" s="8" t="n">
        <v>2</v>
      </c>
      <c r="BJ93" s="9" t="n">
        <v>6</v>
      </c>
      <c r="BK93" s="9"/>
      <c r="BL93" s="9"/>
      <c r="BM93" s="9"/>
      <c r="BN93" s="10" t="n">
        <v>0</v>
      </c>
      <c r="BO93" s="10" t="n">
        <v>0.7</v>
      </c>
      <c r="BP93" s="10" t="n">
        <f aca="false">IF(AND(ISNUMBER(BN93),ISNUMBER(BO93)),BN93+BO93,"")</f>
        <v>0.7</v>
      </c>
      <c r="BQ93" s="10" t="n">
        <v>0</v>
      </c>
      <c r="BR93" s="10" t="n">
        <v>0.2</v>
      </c>
      <c r="BS93" s="10" t="n">
        <v>0.1</v>
      </c>
    </row>
    <row r="94" customFormat="false" ht="15" hidden="false" customHeight="false" outlineLevel="0" collapsed="false">
      <c r="A94" s="8" t="s">
        <v>89</v>
      </c>
      <c r="B94" s="8" t="s">
        <v>120</v>
      </c>
      <c r="C94" s="8" t="n">
        <v>3</v>
      </c>
      <c r="D94" s="9" t="n">
        <v>640</v>
      </c>
      <c r="E94" s="9" t="n">
        <v>186</v>
      </c>
      <c r="F94" s="8" t="s">
        <v>81</v>
      </c>
      <c r="G94" s="8" t="s">
        <v>74</v>
      </c>
      <c r="H94" s="10" t="n">
        <v>0.5</v>
      </c>
      <c r="I94" s="10" t="n">
        <v>0.042</v>
      </c>
      <c r="J94" s="10" t="n">
        <v>0.004</v>
      </c>
      <c r="K94" s="8" t="n">
        <v>0</v>
      </c>
      <c r="L94" s="8" t="n">
        <v>40</v>
      </c>
      <c r="M94" s="10" t="n">
        <v>0.01</v>
      </c>
      <c r="N94" s="8" t="n">
        <v>0</v>
      </c>
      <c r="O94" s="9" t="n">
        <v>47</v>
      </c>
      <c r="P94" s="10" t="n">
        <f aca="false">IF(AND(ISNUMBER(O94),ISNUMBER(D94),D94&gt;0),O94/D94,"")</f>
        <v>0.0734375</v>
      </c>
      <c r="Q94" s="9" t="n">
        <v>15</v>
      </c>
      <c r="R94" s="9" t="n">
        <v>13</v>
      </c>
      <c r="S94" s="9" t="n">
        <v>444</v>
      </c>
      <c r="T94" s="11" t="n">
        <f aca="false">IF(AND(ISNUMBER(S94),ISNUMBER(D94),D94&gt;0),S94/D94,"")</f>
        <v>0.69375</v>
      </c>
      <c r="U94" s="10" t="n">
        <v>0.07</v>
      </c>
      <c r="V94" s="10" t="n">
        <v>0.055</v>
      </c>
      <c r="W94" s="10" t="n">
        <v>0.06</v>
      </c>
      <c r="X94" s="10" t="n">
        <v>0.1</v>
      </c>
      <c r="Y94" s="8" t="n">
        <v>0</v>
      </c>
      <c r="Z94" s="8" t="s">
        <v>74</v>
      </c>
      <c r="AA94" s="8" t="n">
        <v>12</v>
      </c>
      <c r="AB94" s="8" t="n">
        <v>0</v>
      </c>
      <c r="AC94" s="11" t="n">
        <f aca="false">IF(AND(ISNUMBER(AA94),ISNUMBER(D94),D94&gt;0),AA94/D94*100,"")</f>
        <v>1.875</v>
      </c>
      <c r="AD94" s="12" t="n">
        <v>1102</v>
      </c>
      <c r="AE94" s="8" t="s">
        <v>74</v>
      </c>
      <c r="AF94" s="8" t="s">
        <v>74</v>
      </c>
      <c r="AG94" s="12" t="n">
        <v>356.18</v>
      </c>
      <c r="AH94" s="12" t="n">
        <v>391.79</v>
      </c>
      <c r="AI94" s="12" t="n">
        <v>463.03</v>
      </c>
      <c r="AJ94" s="12" t="n">
        <v>569.88</v>
      </c>
      <c r="AK94" s="8" t="n">
        <v>16</v>
      </c>
      <c r="AL94" s="10" t="n">
        <v>0.25</v>
      </c>
      <c r="AM94" s="8" t="s">
        <v>77</v>
      </c>
      <c r="AN94" s="12"/>
      <c r="AO94" s="8" t="s">
        <v>74</v>
      </c>
      <c r="AP94" s="8" t="s">
        <v>74</v>
      </c>
      <c r="AQ94" s="10" t="n">
        <v>0.7</v>
      </c>
      <c r="AR94" s="8" t="n">
        <v>4</v>
      </c>
      <c r="AS94" s="8" t="n">
        <v>5</v>
      </c>
      <c r="AT94" s="8" t="n">
        <v>2</v>
      </c>
      <c r="AU94" s="8" t="n">
        <v>3</v>
      </c>
      <c r="AV94" s="8" t="n">
        <v>3</v>
      </c>
      <c r="AW94" s="8" t="n">
        <v>3</v>
      </c>
      <c r="AX94" s="8" t="n">
        <v>1</v>
      </c>
      <c r="AY94" s="8" t="n">
        <v>1</v>
      </c>
      <c r="AZ94" s="8" t="n">
        <v>2</v>
      </c>
      <c r="BA94" s="8" t="n">
        <v>2</v>
      </c>
      <c r="BB94" s="8" t="n">
        <v>3</v>
      </c>
      <c r="BC94" s="8" t="n">
        <v>3</v>
      </c>
      <c r="BD94" s="8" t="n">
        <v>0</v>
      </c>
      <c r="BE94" s="8" t="n">
        <v>0</v>
      </c>
      <c r="BF94" s="8" t="n">
        <v>0</v>
      </c>
      <c r="BG94" s="8" t="n">
        <v>0</v>
      </c>
      <c r="BH94" s="8" t="n">
        <v>2</v>
      </c>
      <c r="BI94" s="8" t="n">
        <v>3</v>
      </c>
      <c r="BJ94" s="9" t="n">
        <v>18</v>
      </c>
      <c r="BK94" s="9" t="n">
        <v>22</v>
      </c>
      <c r="BL94" s="9" t="n">
        <v>7</v>
      </c>
      <c r="BM94" s="9" t="n">
        <v>1</v>
      </c>
      <c r="BN94" s="10" t="n">
        <v>0.2</v>
      </c>
      <c r="BO94" s="10" t="n">
        <v>0.2</v>
      </c>
      <c r="BP94" s="10" t="n">
        <f aca="false">IF(AND(ISNUMBER(BN94),ISNUMBER(BO94)),BN94+BO94,"")</f>
        <v>0.4</v>
      </c>
      <c r="BQ94" s="10" t="n">
        <v>0.4</v>
      </c>
      <c r="BR94" s="10" t="n">
        <v>0.1</v>
      </c>
      <c r="BS94" s="10" t="n">
        <v>0.1</v>
      </c>
    </row>
    <row r="95" customFormat="false" ht="15" hidden="false" customHeight="false" outlineLevel="0" collapsed="false">
      <c r="A95" s="8" t="s">
        <v>90</v>
      </c>
      <c r="B95" s="8" t="s">
        <v>120</v>
      </c>
      <c r="C95" s="8" t="n">
        <v>3</v>
      </c>
      <c r="D95" s="9" t="n">
        <v>220</v>
      </c>
      <c r="E95" s="9" t="n">
        <v>128</v>
      </c>
      <c r="F95" s="8" t="s">
        <v>81</v>
      </c>
      <c r="G95" s="8" t="s">
        <v>74</v>
      </c>
      <c r="H95" s="10" t="n">
        <v>0</v>
      </c>
      <c r="I95" s="10" t="n">
        <v>0.035</v>
      </c>
      <c r="J95" s="10" t="n">
        <v>0.017</v>
      </c>
      <c r="K95" s="8" t="n">
        <v>0</v>
      </c>
      <c r="L95" s="8" t="n">
        <v>15</v>
      </c>
      <c r="M95" s="10" t="n">
        <v>0.005</v>
      </c>
      <c r="N95" s="8" t="n">
        <v>0</v>
      </c>
      <c r="O95" s="9" t="n">
        <v>16</v>
      </c>
      <c r="P95" s="10" t="n">
        <f aca="false">IF(AND(ISNUMBER(O95),ISNUMBER(D95),D95&gt;0),O95/D95,"")</f>
        <v>0.0727272727272727</v>
      </c>
      <c r="Q95" s="9" t="n">
        <v>2</v>
      </c>
      <c r="R95" s="9" t="n">
        <v>2</v>
      </c>
      <c r="S95" s="9" t="n">
        <v>253</v>
      </c>
      <c r="T95" s="11" t="n">
        <f aca="false">IF(AND(ISNUMBER(S95),ISNUMBER(D95),D95&gt;0),S95/D95,"")</f>
        <v>1.15</v>
      </c>
      <c r="U95" s="10" t="n">
        <v>0.07</v>
      </c>
      <c r="V95" s="10" t="n">
        <v>0.12</v>
      </c>
      <c r="W95" s="10" t="n">
        <v>0.06</v>
      </c>
      <c r="X95" s="10" t="n">
        <v>0.13</v>
      </c>
      <c r="Y95" s="8" t="n">
        <v>0</v>
      </c>
      <c r="Z95" s="8" t="s">
        <v>74</v>
      </c>
      <c r="AA95" s="8" t="n">
        <v>18</v>
      </c>
      <c r="AB95" s="8" t="n">
        <v>0</v>
      </c>
      <c r="AC95" s="11" t="n">
        <f aca="false">IF(AND(ISNUMBER(AA95),ISNUMBER(D95),D95&gt;0),AA95/D95*100,"")</f>
        <v>8.18181818181818</v>
      </c>
      <c r="AD95" s="12" t="n">
        <v>2344</v>
      </c>
      <c r="AE95" s="8" t="s">
        <v>77</v>
      </c>
      <c r="AF95" s="8" t="s">
        <v>77</v>
      </c>
      <c r="AG95" s="12" t="n">
        <v>300</v>
      </c>
      <c r="AH95" s="12" t="n">
        <v>350</v>
      </c>
      <c r="AI95" s="12" t="n">
        <v>410</v>
      </c>
      <c r="AJ95" s="12" t="n">
        <v>442</v>
      </c>
      <c r="AK95" s="8" t="n">
        <v>21</v>
      </c>
      <c r="AL95" s="10" t="n">
        <v>0.45</v>
      </c>
      <c r="AM95" s="8" t="s">
        <v>74</v>
      </c>
      <c r="AN95" s="12" t="n">
        <v>41</v>
      </c>
      <c r="AO95" s="8" t="s">
        <v>74</v>
      </c>
      <c r="AP95" s="8" t="s">
        <v>74</v>
      </c>
      <c r="AQ95" s="10" t="n">
        <v>0.95</v>
      </c>
      <c r="AR95" s="8" t="n">
        <v>3</v>
      </c>
      <c r="AS95" s="8" t="n">
        <v>3</v>
      </c>
      <c r="AT95" s="8" t="n">
        <v>1</v>
      </c>
      <c r="AU95" s="8" t="n">
        <v>1</v>
      </c>
      <c r="AV95" s="8" t="n">
        <v>2</v>
      </c>
      <c r="AW95" s="8" t="n">
        <v>1</v>
      </c>
      <c r="AX95" s="8" t="n">
        <v>2</v>
      </c>
      <c r="AY95" s="8" t="n">
        <v>1</v>
      </c>
      <c r="AZ95" s="8" t="n">
        <v>1</v>
      </c>
      <c r="BA95" s="8" t="n">
        <v>1</v>
      </c>
      <c r="BB95" s="8" t="n">
        <v>2</v>
      </c>
      <c r="BC95" s="8" t="n">
        <v>3</v>
      </c>
      <c r="BD95" s="8" t="n">
        <v>0</v>
      </c>
      <c r="BE95" s="8" t="n">
        <v>0</v>
      </c>
      <c r="BF95" s="8" t="n">
        <v>1</v>
      </c>
      <c r="BG95" s="8" t="n">
        <v>1</v>
      </c>
      <c r="BH95" s="8" t="n">
        <v>2</v>
      </c>
      <c r="BI95" s="8" t="n">
        <v>4</v>
      </c>
      <c r="BJ95" s="9" t="n">
        <v>11</v>
      </c>
      <c r="BK95" s="9" t="n">
        <v>5</v>
      </c>
      <c r="BL95" s="9" t="n">
        <v>4</v>
      </c>
      <c r="BM95" s="9" t="n">
        <v>4</v>
      </c>
      <c r="BN95" s="10" t="n">
        <v>0</v>
      </c>
      <c r="BO95" s="10" t="n">
        <v>0.2</v>
      </c>
      <c r="BP95" s="10" t="n">
        <f aca="false">IF(AND(ISNUMBER(BN95),ISNUMBER(BO95)),BN95+BO95,"")</f>
        <v>0.2</v>
      </c>
      <c r="BQ95" s="10" t="n">
        <v>0.5</v>
      </c>
      <c r="BR95" s="10" t="n">
        <v>0.3</v>
      </c>
      <c r="BS95" s="10" t="n">
        <v>0</v>
      </c>
    </row>
    <row r="96" customFormat="false" ht="15" hidden="false" customHeight="false" outlineLevel="0" collapsed="false">
      <c r="A96" s="8" t="s">
        <v>91</v>
      </c>
      <c r="B96" s="8" t="s">
        <v>120</v>
      </c>
      <c r="C96" s="8" t="n">
        <v>3</v>
      </c>
      <c r="D96" s="9" t="n">
        <v>2662</v>
      </c>
      <c r="E96" s="9" t="n">
        <v>2170</v>
      </c>
      <c r="F96" s="8" t="s">
        <v>92</v>
      </c>
      <c r="G96" s="8" t="s">
        <v>74</v>
      </c>
      <c r="H96" s="10" t="n">
        <v>0.1</v>
      </c>
      <c r="I96" s="10" t="n">
        <v>0.089</v>
      </c>
      <c r="J96" s="10" t="n">
        <v>0.15</v>
      </c>
      <c r="K96" s="8" t="n">
        <v>1</v>
      </c>
      <c r="L96" s="8" t="n">
        <v>3</v>
      </c>
      <c r="M96" s="10" t="n">
        <v>0.006</v>
      </c>
      <c r="N96" s="8" t="n">
        <v>0</v>
      </c>
      <c r="O96" s="9" t="n">
        <v>336</v>
      </c>
      <c r="P96" s="10" t="n">
        <f aca="false">IF(AND(ISNUMBER(O96),ISNUMBER(D96),D96&gt;0),O96/D96,"")</f>
        <v>0.126220886551465</v>
      </c>
      <c r="Q96" s="9" t="n">
        <v>385</v>
      </c>
      <c r="R96" s="9" t="n">
        <v>345</v>
      </c>
      <c r="S96" s="9" t="n">
        <v>750</v>
      </c>
      <c r="T96" s="11" t="n">
        <f aca="false">IF(AND(ISNUMBER(S96),ISNUMBER(D96),D96&gt;0),S96/D96,"")</f>
        <v>0.281743050338092</v>
      </c>
      <c r="U96" s="10" t="n">
        <v>0.082</v>
      </c>
      <c r="V96" s="10" t="n">
        <v>0.045</v>
      </c>
      <c r="W96" s="10" t="n">
        <v>0.13</v>
      </c>
      <c r="X96" s="10" t="n">
        <v>0.04</v>
      </c>
      <c r="Y96" s="8" t="n">
        <v>0</v>
      </c>
      <c r="Z96" s="8" t="s">
        <v>74</v>
      </c>
      <c r="AA96" s="8" t="n">
        <v>8</v>
      </c>
      <c r="AB96" s="8" t="n">
        <v>0</v>
      </c>
      <c r="AC96" s="11" t="n">
        <f aca="false">IF(AND(ISNUMBER(AA96),ISNUMBER(D96),D96&gt;0),AA96/D96*100,"")</f>
        <v>0.300525920360631</v>
      </c>
      <c r="AD96" s="12" t="n">
        <v>721</v>
      </c>
      <c r="AE96" s="8" t="s">
        <v>77</v>
      </c>
      <c r="AF96" s="8" t="s">
        <v>74</v>
      </c>
      <c r="AG96" s="12" t="n">
        <v>308.43</v>
      </c>
      <c r="AH96" s="12" t="n">
        <v>347.06</v>
      </c>
      <c r="AI96" s="12" t="n">
        <v>404.14</v>
      </c>
      <c r="AJ96" s="12" t="n">
        <v>742</v>
      </c>
      <c r="AK96" s="8" t="n">
        <v>30</v>
      </c>
      <c r="AL96" s="10" t="n">
        <v>0.6</v>
      </c>
      <c r="AM96" s="8" t="s">
        <v>74</v>
      </c>
      <c r="AN96" s="12" t="n">
        <v>25</v>
      </c>
      <c r="AO96" s="8" t="s">
        <v>74</v>
      </c>
      <c r="AP96" s="8" t="s">
        <v>74</v>
      </c>
      <c r="AQ96" s="10" t="n">
        <v>1</v>
      </c>
      <c r="AR96" s="8" t="n">
        <v>4</v>
      </c>
      <c r="AS96" s="8" t="n">
        <v>2</v>
      </c>
      <c r="AT96" s="8" t="n">
        <v>2</v>
      </c>
      <c r="AU96" s="8" t="n">
        <v>3</v>
      </c>
      <c r="AV96" s="8" t="n">
        <v>3</v>
      </c>
      <c r="AW96" s="8" t="n">
        <v>1</v>
      </c>
      <c r="AX96" s="8" t="n">
        <v>2</v>
      </c>
      <c r="AY96" s="8" t="n">
        <v>2</v>
      </c>
      <c r="AZ96" s="8" t="n">
        <v>1</v>
      </c>
      <c r="BA96" s="8" t="n">
        <v>1</v>
      </c>
      <c r="BB96" s="8" t="n">
        <v>2</v>
      </c>
      <c r="BC96" s="8" t="n">
        <v>1</v>
      </c>
      <c r="BD96" s="8" t="n">
        <v>1</v>
      </c>
      <c r="BE96" s="8" t="n">
        <v>1</v>
      </c>
      <c r="BF96" s="8" t="n">
        <v>1</v>
      </c>
      <c r="BG96" s="8" t="n">
        <v>0</v>
      </c>
      <c r="BH96" s="8" t="n">
        <v>2</v>
      </c>
      <c r="BI96" s="8" t="n">
        <v>1</v>
      </c>
      <c r="BJ96" s="9" t="n">
        <v>136</v>
      </c>
      <c r="BK96" s="9" t="n">
        <v>245</v>
      </c>
      <c r="BL96" s="9" t="n">
        <v>14</v>
      </c>
      <c r="BM96" s="9" t="n">
        <v>62</v>
      </c>
      <c r="BN96" s="10" t="n">
        <v>0.2</v>
      </c>
      <c r="BO96" s="10" t="n">
        <v>0.2</v>
      </c>
      <c r="BP96" s="10" t="n">
        <f aca="false">IF(AND(ISNUMBER(BN96),ISNUMBER(BO96)),BN96+BO96,"")</f>
        <v>0.4</v>
      </c>
      <c r="BQ96" s="10" t="n">
        <v>0.1</v>
      </c>
      <c r="BR96" s="10" t="n">
        <v>0.1</v>
      </c>
      <c r="BS96" s="10" t="n">
        <v>0.2</v>
      </c>
    </row>
    <row r="97" customFormat="false" ht="15" hidden="false" customHeight="false" outlineLevel="0" collapsed="false">
      <c r="A97" s="8" t="s">
        <v>93</v>
      </c>
      <c r="B97" s="8" t="s">
        <v>120</v>
      </c>
      <c r="C97" s="8" t="n">
        <v>3</v>
      </c>
      <c r="D97" s="9" t="n">
        <v>105</v>
      </c>
      <c r="E97" s="9" t="n">
        <v>92</v>
      </c>
      <c r="F97" s="8" t="s">
        <v>94</v>
      </c>
      <c r="G97" s="8" t="s">
        <v>74</v>
      </c>
      <c r="H97" s="10" t="n">
        <v>0.9</v>
      </c>
      <c r="I97" s="10" t="n">
        <v>0.15</v>
      </c>
      <c r="J97" s="10" t="n">
        <v>0.01</v>
      </c>
      <c r="K97" s="8" t="n">
        <v>0</v>
      </c>
      <c r="L97" s="8" t="n">
        <v>20</v>
      </c>
      <c r="M97" s="10" t="n">
        <v>0.01</v>
      </c>
      <c r="N97" s="8" t="n">
        <v>0</v>
      </c>
      <c r="O97" s="9" t="n">
        <v>16</v>
      </c>
      <c r="P97" s="10" t="n">
        <f aca="false">IF(AND(ISNUMBER(O97),ISNUMBER(D97),D97&gt;0),O97/D97,"")</f>
        <v>0.152380952380952</v>
      </c>
      <c r="Q97" s="9" t="n">
        <v>6</v>
      </c>
      <c r="R97" s="9" t="n">
        <v>24</v>
      </c>
      <c r="S97" s="9" t="n">
        <v>51</v>
      </c>
      <c r="T97" s="11" t="n">
        <f aca="false">IF(AND(ISNUMBER(S97),ISNUMBER(D97),D97&gt;0),S97/D97,"")</f>
        <v>0.485714285714286</v>
      </c>
      <c r="U97" s="10" t="n">
        <v>0.1</v>
      </c>
      <c r="V97" s="10" t="n">
        <v>0.09</v>
      </c>
      <c r="W97" s="10" t="n">
        <v>0.065</v>
      </c>
      <c r="X97" s="10" t="n">
        <v>0.1</v>
      </c>
      <c r="Y97" s="8" t="n">
        <v>0</v>
      </c>
      <c r="Z97" s="8" t="s">
        <v>74</v>
      </c>
      <c r="AA97" s="8" t="n">
        <v>16</v>
      </c>
      <c r="AB97" s="8" t="n">
        <v>0</v>
      </c>
      <c r="AC97" s="11" t="n">
        <f aca="false">IF(AND(ISNUMBER(AA97),ISNUMBER(D97),D97&gt;0),AA97/D97*100,"")</f>
        <v>15.2380952380952</v>
      </c>
      <c r="AD97" s="12" t="n">
        <v>2824.5</v>
      </c>
      <c r="AE97" s="8" t="s">
        <v>77</v>
      </c>
      <c r="AF97" s="8" t="s">
        <v>74</v>
      </c>
      <c r="AG97" s="12" t="n">
        <v>286.22</v>
      </c>
      <c r="AH97" s="12" t="n">
        <v>341</v>
      </c>
      <c r="AI97" s="12" t="n">
        <v>388.41</v>
      </c>
      <c r="AJ97" s="12" t="n">
        <v>411.73</v>
      </c>
      <c r="AK97" s="8" t="n">
        <v>15</v>
      </c>
      <c r="AL97" s="10" t="n">
        <v>0.25</v>
      </c>
      <c r="AM97" s="8" t="s">
        <v>74</v>
      </c>
      <c r="AN97" s="12" t="n">
        <v>65</v>
      </c>
      <c r="AO97" s="8" t="s">
        <v>77</v>
      </c>
      <c r="AP97" s="8" t="s">
        <v>74</v>
      </c>
      <c r="AQ97" s="10" t="n">
        <v>0.85</v>
      </c>
      <c r="AR97" s="8" t="n">
        <v>4</v>
      </c>
      <c r="AS97" s="8" t="n">
        <v>4</v>
      </c>
      <c r="AT97" s="8" t="n">
        <v>1</v>
      </c>
      <c r="AU97" s="8" t="n">
        <v>1</v>
      </c>
      <c r="AV97" s="8" t="n">
        <v>2</v>
      </c>
      <c r="AW97" s="8" t="n">
        <v>0</v>
      </c>
      <c r="AX97" s="8" t="n">
        <v>2</v>
      </c>
      <c r="AY97" s="8" t="n">
        <v>1</v>
      </c>
      <c r="AZ97" s="8" t="n">
        <v>1</v>
      </c>
      <c r="BA97" s="8" t="n">
        <v>1</v>
      </c>
      <c r="BB97" s="8" t="n">
        <v>2</v>
      </c>
      <c r="BC97" s="8" t="n">
        <v>1</v>
      </c>
      <c r="BD97" s="8" t="n">
        <v>1</v>
      </c>
      <c r="BE97" s="8" t="n">
        <v>2</v>
      </c>
      <c r="BF97" s="8" t="n">
        <v>0</v>
      </c>
      <c r="BG97" s="8" t="n">
        <v>0</v>
      </c>
      <c r="BH97" s="8" t="n">
        <v>1</v>
      </c>
      <c r="BI97" s="8" t="n">
        <v>0</v>
      </c>
      <c r="BJ97" s="9" t="n">
        <v>6</v>
      </c>
      <c r="BK97" s="9" t="n">
        <v>2</v>
      </c>
      <c r="BL97" s="9"/>
      <c r="BM97" s="9"/>
      <c r="BN97" s="10" t="n">
        <v>0.1</v>
      </c>
      <c r="BO97" s="10" t="n">
        <v>0.2</v>
      </c>
      <c r="BP97" s="10" t="n">
        <f aca="false">IF(AND(ISNUMBER(BN97),ISNUMBER(BO97)),BN97+BO97,"")</f>
        <v>0.3</v>
      </c>
      <c r="BQ97" s="10" t="n">
        <v>0.2</v>
      </c>
      <c r="BR97" s="10" t="n">
        <v>0.5</v>
      </c>
      <c r="BS97" s="10" t="n">
        <v>0</v>
      </c>
    </row>
    <row r="98" customFormat="false" ht="15" hidden="false" customHeight="false" outlineLevel="0" collapsed="false">
      <c r="A98" s="8" t="s">
        <v>95</v>
      </c>
      <c r="B98" s="8" t="s">
        <v>120</v>
      </c>
      <c r="C98" s="8" t="n">
        <v>3</v>
      </c>
      <c r="D98" s="9" t="n">
        <v>19</v>
      </c>
      <c r="E98" s="9" t="n">
        <v>17</v>
      </c>
      <c r="F98" s="8" t="s">
        <v>81</v>
      </c>
      <c r="G98" s="8" t="s">
        <v>77</v>
      </c>
      <c r="H98" s="10" t="n">
        <v>0.1</v>
      </c>
      <c r="I98" s="10" t="n">
        <v>0.001</v>
      </c>
      <c r="J98" s="10" t="n">
        <v>0.001</v>
      </c>
      <c r="K98" s="8" t="n">
        <v>0</v>
      </c>
      <c r="L98" s="8"/>
      <c r="M98" s="10" t="n">
        <v>0.001</v>
      </c>
      <c r="N98" s="8" t="n">
        <v>0</v>
      </c>
      <c r="O98" s="9" t="n">
        <v>0</v>
      </c>
      <c r="P98" s="10" t="n">
        <f aca="false">IF(AND(ISNUMBER(O98),ISNUMBER(D98),D98&gt;0),O98/D98,"")</f>
        <v>0</v>
      </c>
      <c r="Q98" s="9" t="n">
        <v>0</v>
      </c>
      <c r="R98" s="9" t="n">
        <v>0</v>
      </c>
      <c r="S98" s="9" t="n">
        <v>0</v>
      </c>
      <c r="T98" s="11" t="n">
        <f aca="false">IF(AND(ISNUMBER(S98),ISNUMBER(D98),D98&gt;0),S98/D98,"")</f>
        <v>0</v>
      </c>
      <c r="U98" s="10" t="n">
        <v>0.08</v>
      </c>
      <c r="V98" s="10" t="n">
        <v>0.1</v>
      </c>
      <c r="W98" s="10"/>
      <c r="X98" s="10" t="n">
        <v>0.1</v>
      </c>
      <c r="Y98" s="8" t="n">
        <v>0</v>
      </c>
      <c r="Z98" s="8" t="s">
        <v>77</v>
      </c>
      <c r="AA98" s="8" t="n">
        <v>0</v>
      </c>
      <c r="AB98" s="8" t="n">
        <v>0</v>
      </c>
      <c r="AC98" s="11" t="n">
        <f aca="false">IF(AND(ISNUMBER(AA98),ISNUMBER(D98),D98&gt;0),AA98/D98*100,"")</f>
        <v>0</v>
      </c>
      <c r="AD98" s="12"/>
      <c r="AE98" s="8" t="s">
        <v>74</v>
      </c>
      <c r="AF98" s="8" t="s">
        <v>77</v>
      </c>
      <c r="AG98" s="12" t="n">
        <v>285.71</v>
      </c>
      <c r="AH98" s="12" t="n">
        <v>385.71</v>
      </c>
      <c r="AI98" s="12" t="n">
        <v>457.14</v>
      </c>
      <c r="AJ98" s="12" t="n">
        <v>642.86</v>
      </c>
      <c r="AK98" s="8" t="n">
        <v>15</v>
      </c>
      <c r="AL98" s="10" t="n">
        <v>0.25</v>
      </c>
      <c r="AM98" s="8" t="s">
        <v>77</v>
      </c>
      <c r="AN98" s="12"/>
      <c r="AO98" s="8" t="s">
        <v>77</v>
      </c>
      <c r="AP98" s="8"/>
      <c r="AQ98" s="10"/>
      <c r="AR98" s="8" t="n">
        <v>3</v>
      </c>
      <c r="AS98" s="8" t="n">
        <v>2</v>
      </c>
      <c r="AT98" s="8" t="n">
        <v>0</v>
      </c>
      <c r="AU98" s="8" t="n">
        <v>1</v>
      </c>
      <c r="AV98" s="8" t="n">
        <v>0</v>
      </c>
      <c r="AW98" s="8" t="n">
        <v>0</v>
      </c>
      <c r="AX98" s="8" t="n">
        <v>0</v>
      </c>
      <c r="AY98" s="8" t="n">
        <v>1</v>
      </c>
      <c r="AZ98" s="8" t="n">
        <v>0</v>
      </c>
      <c r="BA98" s="8" t="n">
        <v>0</v>
      </c>
      <c r="BB98" s="8" t="n">
        <v>0</v>
      </c>
      <c r="BC98" s="8" t="n">
        <v>0</v>
      </c>
      <c r="BD98" s="8" t="n">
        <v>0</v>
      </c>
      <c r="BE98" s="8" t="n">
        <v>1</v>
      </c>
      <c r="BF98" s="8" t="n">
        <v>0</v>
      </c>
      <c r="BG98" s="8" t="n">
        <v>0</v>
      </c>
      <c r="BH98" s="8" t="n">
        <v>1</v>
      </c>
      <c r="BI98" s="8" t="n">
        <v>0</v>
      </c>
      <c r="BJ98" s="9" t="n">
        <v>0</v>
      </c>
      <c r="BK98" s="9" t="n">
        <v>0</v>
      </c>
      <c r="BL98" s="9"/>
      <c r="BM98" s="9"/>
      <c r="BN98" s="10" t="n">
        <v>0</v>
      </c>
      <c r="BO98" s="10" t="n">
        <v>0.3</v>
      </c>
      <c r="BP98" s="10" t="n">
        <f aca="false">IF(AND(ISNUMBER(BN98),ISNUMBER(BO98)),BN98+BO98,"")</f>
        <v>0.3</v>
      </c>
      <c r="BQ98" s="10" t="n">
        <v>0.7</v>
      </c>
      <c r="BR98" s="10" t="n">
        <v>0</v>
      </c>
      <c r="BS98" s="10" t="n">
        <v>0</v>
      </c>
    </row>
    <row r="99" customFormat="false" ht="15" hidden="false" customHeight="false" outlineLevel="0" collapsed="false">
      <c r="A99" s="8" t="s">
        <v>96</v>
      </c>
      <c r="B99" s="8" t="s">
        <v>120</v>
      </c>
      <c r="C99" s="8" t="n">
        <v>3</v>
      </c>
      <c r="D99" s="9" t="n">
        <v>625</v>
      </c>
      <c r="E99" s="9" t="n">
        <v>125</v>
      </c>
      <c r="F99" s="8" t="s">
        <v>76</v>
      </c>
      <c r="G99" s="8" t="s">
        <v>74</v>
      </c>
      <c r="H99" s="10" t="n">
        <v>0.2</v>
      </c>
      <c r="I99" s="10" t="n">
        <v>0.09</v>
      </c>
      <c r="J99" s="10" t="n">
        <v>0.019</v>
      </c>
      <c r="K99" s="8" t="n">
        <v>0</v>
      </c>
      <c r="L99" s="8" t="n">
        <v>7</v>
      </c>
      <c r="M99" s="10" t="n">
        <v>0.02</v>
      </c>
      <c r="N99" s="8" t="n">
        <v>0</v>
      </c>
      <c r="O99" s="9" t="n">
        <v>69</v>
      </c>
      <c r="P99" s="10" t="n">
        <f aca="false">IF(AND(ISNUMBER(O99),ISNUMBER(D99),D99&gt;0),O99/D99,"")</f>
        <v>0.1104</v>
      </c>
      <c r="Q99" s="9" t="n">
        <v>35</v>
      </c>
      <c r="R99" s="9" t="n">
        <v>35</v>
      </c>
      <c r="S99" s="9" t="n">
        <v>361</v>
      </c>
      <c r="T99" s="11" t="n">
        <f aca="false">IF(AND(ISNUMBER(S99),ISNUMBER(D99),D99&gt;0),S99/D99,"")</f>
        <v>0.5776</v>
      </c>
      <c r="U99" s="10"/>
      <c r="V99" s="10" t="n">
        <v>0.1</v>
      </c>
      <c r="W99" s="10" t="n">
        <v>0.05</v>
      </c>
      <c r="X99" s="10" t="n">
        <v>0.01</v>
      </c>
      <c r="Y99" s="8" t="n">
        <v>0</v>
      </c>
      <c r="Z99" s="8" t="s">
        <v>74</v>
      </c>
      <c r="AA99" s="8" t="n">
        <v>17</v>
      </c>
      <c r="AB99" s="8" t="n">
        <v>0</v>
      </c>
      <c r="AC99" s="11" t="n">
        <f aca="false">IF(AND(ISNUMBER(AA99),ISNUMBER(D99),D99&gt;0),AA99/D99*100,"")</f>
        <v>2.72</v>
      </c>
      <c r="AD99" s="12" t="n">
        <v>450</v>
      </c>
      <c r="AE99" s="8" t="s">
        <v>74</v>
      </c>
      <c r="AF99" s="8" t="s">
        <v>77</v>
      </c>
      <c r="AG99" s="12" t="n">
        <v>340.75</v>
      </c>
      <c r="AH99" s="12" t="n">
        <v>444.86</v>
      </c>
      <c r="AI99" s="12" t="n">
        <v>619.49</v>
      </c>
      <c r="AJ99" s="12" t="n">
        <v>684.19</v>
      </c>
      <c r="AK99" s="8" t="n">
        <v>19</v>
      </c>
      <c r="AL99" s="10" t="n">
        <v>0.55</v>
      </c>
      <c r="AM99" s="8" t="s">
        <v>74</v>
      </c>
      <c r="AN99" s="12" t="n">
        <v>50</v>
      </c>
      <c r="AO99" s="8" t="s">
        <v>77</v>
      </c>
      <c r="AP99" s="8" t="s">
        <v>74</v>
      </c>
      <c r="AQ99" s="10" t="n">
        <v>0.9</v>
      </c>
      <c r="AR99" s="8" t="n">
        <v>3</v>
      </c>
      <c r="AS99" s="8" t="n">
        <v>2</v>
      </c>
      <c r="AT99" s="8" t="n">
        <v>1</v>
      </c>
      <c r="AU99" s="8" t="n">
        <v>3</v>
      </c>
      <c r="AV99" s="8" t="n">
        <v>0</v>
      </c>
      <c r="AW99" s="8" t="n">
        <v>1</v>
      </c>
      <c r="AX99" s="8" t="n">
        <v>0</v>
      </c>
      <c r="AY99" s="8" t="n">
        <v>0</v>
      </c>
      <c r="AZ99" s="8" t="n">
        <v>2</v>
      </c>
      <c r="BA99" s="8" t="n">
        <v>0</v>
      </c>
      <c r="BB99" s="8" t="n">
        <v>2</v>
      </c>
      <c r="BC99" s="8" t="n">
        <v>3</v>
      </c>
      <c r="BD99" s="8" t="n">
        <v>2</v>
      </c>
      <c r="BE99" s="8" t="n">
        <v>1</v>
      </c>
      <c r="BF99" s="8" t="n">
        <v>1</v>
      </c>
      <c r="BG99" s="8" t="n">
        <v>0</v>
      </c>
      <c r="BH99" s="8" t="n">
        <v>3</v>
      </c>
      <c r="BI99" s="8" t="n">
        <v>3</v>
      </c>
      <c r="BJ99" s="9" t="n">
        <v>50</v>
      </c>
      <c r="BK99" s="9" t="n">
        <v>10</v>
      </c>
      <c r="BL99" s="9" t="n">
        <v>10</v>
      </c>
      <c r="BM99" s="9" t="n">
        <v>2</v>
      </c>
      <c r="BN99" s="10" t="n">
        <v>0.6</v>
      </c>
      <c r="BO99" s="10" t="n">
        <v>0.2</v>
      </c>
      <c r="BP99" s="10" t="n">
        <f aca="false">IF(AND(ISNUMBER(BN99),ISNUMBER(BO99)),BN99+BO99,"")</f>
        <v>0.8</v>
      </c>
      <c r="BQ99" s="10" t="n">
        <v>0.1</v>
      </c>
      <c r="BR99" s="10" t="n">
        <v>0.1</v>
      </c>
      <c r="BS99" s="10" t="n">
        <v>0</v>
      </c>
    </row>
    <row r="100" customFormat="false" ht="15" hidden="false" customHeight="false" outlineLevel="0" collapsed="false">
      <c r="A100" s="8" t="s">
        <v>97</v>
      </c>
      <c r="B100" s="8" t="s">
        <v>120</v>
      </c>
      <c r="C100" s="8" t="n">
        <v>3</v>
      </c>
      <c r="D100" s="9" t="n">
        <v>611</v>
      </c>
      <c r="E100" s="9" t="n">
        <v>451</v>
      </c>
      <c r="F100" s="8" t="s">
        <v>76</v>
      </c>
      <c r="G100" s="8" t="s">
        <v>74</v>
      </c>
      <c r="H100" s="10" t="n">
        <v>0</v>
      </c>
      <c r="I100" s="10" t="n">
        <v>0.006</v>
      </c>
      <c r="J100" s="10" t="n">
        <v>0.002</v>
      </c>
      <c r="K100" s="8" t="n">
        <v>0</v>
      </c>
      <c r="L100" s="8" t="n">
        <v>30</v>
      </c>
      <c r="M100" s="10"/>
      <c r="N100" s="8" t="n">
        <v>0</v>
      </c>
      <c r="O100" s="9" t="n">
        <v>9</v>
      </c>
      <c r="P100" s="10" t="n">
        <f aca="false">IF(AND(ISNUMBER(O100),ISNUMBER(D100),D100&gt;0),O100/D100,"")</f>
        <v>0.0147299509001637</v>
      </c>
      <c r="Q100" s="9" t="n">
        <v>44</v>
      </c>
      <c r="R100" s="9" t="n">
        <v>18</v>
      </c>
      <c r="S100" s="9" t="n">
        <v>226</v>
      </c>
      <c r="T100" s="11" t="n">
        <f aca="false">IF(AND(ISNUMBER(S100),ISNUMBER(D100),D100&gt;0),S100/D100,"")</f>
        <v>0.369885433715221</v>
      </c>
      <c r="U100" s="10" t="n">
        <v>0.05</v>
      </c>
      <c r="V100" s="10" t="n">
        <v>0.105</v>
      </c>
      <c r="W100" s="10" t="n">
        <v>0.13</v>
      </c>
      <c r="X100" s="10"/>
      <c r="Y100" s="8" t="n">
        <v>0</v>
      </c>
      <c r="Z100" s="8" t="s">
        <v>77</v>
      </c>
      <c r="AA100" s="8" t="n">
        <v>0</v>
      </c>
      <c r="AB100" s="8" t="n">
        <v>0</v>
      </c>
      <c r="AC100" s="11" t="n">
        <f aca="false">IF(AND(ISNUMBER(AA100),ISNUMBER(D100),D100&gt;0),AA100/D100*100,"")</f>
        <v>0</v>
      </c>
      <c r="AD100" s="12"/>
      <c r="AE100" s="8" t="s">
        <v>77</v>
      </c>
      <c r="AF100" s="8" t="s">
        <v>77</v>
      </c>
      <c r="AG100" s="12" t="n">
        <v>449.17</v>
      </c>
      <c r="AH100" s="12" t="n">
        <v>544.47</v>
      </c>
      <c r="AI100" s="12" t="n">
        <v>707.79</v>
      </c>
      <c r="AJ100" s="12" t="n">
        <v>884.7</v>
      </c>
      <c r="AK100" s="8" t="n">
        <v>25</v>
      </c>
      <c r="AL100" s="10" t="n">
        <v>0.7</v>
      </c>
      <c r="AM100" s="8" t="s">
        <v>74</v>
      </c>
      <c r="AN100" s="12" t="n">
        <v>47</v>
      </c>
      <c r="AO100" s="8" t="s">
        <v>77</v>
      </c>
      <c r="AP100" s="8" t="s">
        <v>74</v>
      </c>
      <c r="AQ100" s="10"/>
      <c r="AR100" s="8" t="n">
        <v>4</v>
      </c>
      <c r="AS100" s="8" t="n">
        <v>1</v>
      </c>
      <c r="AT100" s="8" t="n">
        <v>0</v>
      </c>
      <c r="AU100" s="8" t="n">
        <v>0</v>
      </c>
      <c r="AV100" s="8" t="n">
        <v>0</v>
      </c>
      <c r="AW100" s="8" t="n">
        <v>0</v>
      </c>
      <c r="AX100" s="8" t="n">
        <v>1</v>
      </c>
      <c r="AY100" s="8" t="n">
        <v>1</v>
      </c>
      <c r="AZ100" s="8" t="n">
        <v>2</v>
      </c>
      <c r="BA100" s="8" t="n">
        <v>1</v>
      </c>
      <c r="BB100" s="8" t="n">
        <v>0</v>
      </c>
      <c r="BC100" s="8" t="n">
        <v>0</v>
      </c>
      <c r="BD100" s="8" t="n">
        <v>0</v>
      </c>
      <c r="BE100" s="8" t="n">
        <v>0</v>
      </c>
      <c r="BF100" s="8" t="n">
        <v>0</v>
      </c>
      <c r="BG100" s="8" t="n">
        <v>0</v>
      </c>
      <c r="BH100" s="8" t="n">
        <v>0</v>
      </c>
      <c r="BI100" s="8" t="n">
        <v>2</v>
      </c>
      <c r="BJ100" s="9" t="n">
        <v>9</v>
      </c>
      <c r="BK100" s="9" t="n">
        <v>0</v>
      </c>
      <c r="BL100" s="9" t="n">
        <v>0</v>
      </c>
      <c r="BM100" s="9" t="n">
        <v>3</v>
      </c>
      <c r="BN100" s="10" t="n">
        <v>0</v>
      </c>
      <c r="BO100" s="10" t="n">
        <v>0</v>
      </c>
      <c r="BP100" s="10" t="n">
        <f aca="false">IF(AND(ISNUMBER(BN100),ISNUMBER(BO100)),BN100+BO100,"")</f>
        <v>0</v>
      </c>
      <c r="BQ100" s="10" t="n">
        <v>0.5</v>
      </c>
      <c r="BR100" s="10" t="n">
        <v>0.3</v>
      </c>
      <c r="BS100" s="10" t="n">
        <v>0.2</v>
      </c>
    </row>
    <row r="101" customFormat="false" ht="15" hidden="false" customHeight="false" outlineLevel="0" collapsed="false">
      <c r="A101" s="8" t="s">
        <v>98</v>
      </c>
      <c r="B101" s="8" t="s">
        <v>120</v>
      </c>
      <c r="C101" s="8" t="n">
        <v>3</v>
      </c>
      <c r="D101" s="9" t="n">
        <v>3252</v>
      </c>
      <c r="E101" s="9" t="n">
        <v>978</v>
      </c>
      <c r="F101" s="8" t="s">
        <v>73</v>
      </c>
      <c r="G101" s="8" t="s">
        <v>74</v>
      </c>
      <c r="H101" s="10" t="n">
        <v>0.3</v>
      </c>
      <c r="I101" s="10" t="n">
        <v>0.017</v>
      </c>
      <c r="J101" s="10" t="n">
        <v>0.007</v>
      </c>
      <c r="K101" s="8" t="n">
        <v>0</v>
      </c>
      <c r="L101" s="8"/>
      <c r="M101" s="10" t="n">
        <v>0.076</v>
      </c>
      <c r="N101" s="8" t="n">
        <v>0</v>
      </c>
      <c r="O101" s="9" t="n">
        <v>583</v>
      </c>
      <c r="P101" s="10" t="n">
        <f aca="false">IF(AND(ISNUMBER(O101),ISNUMBER(D101),D101&gt;0),O101/D101,"")</f>
        <v>0.179274292742927</v>
      </c>
      <c r="Q101" s="9"/>
      <c r="R101" s="9" t="n">
        <v>691</v>
      </c>
      <c r="S101" s="9" t="n">
        <v>1862</v>
      </c>
      <c r="T101" s="11" t="n">
        <f aca="false">IF(AND(ISNUMBER(S101),ISNUMBER(D101),D101&gt;0),S101/D101,"")</f>
        <v>0.572570725707257</v>
      </c>
      <c r="U101" s="10" t="n">
        <v>0.07</v>
      </c>
      <c r="V101" s="10" t="n">
        <v>0.08</v>
      </c>
      <c r="W101" s="10" t="n">
        <v>0.06</v>
      </c>
      <c r="X101" s="10"/>
      <c r="Y101" s="8" t="n">
        <v>0</v>
      </c>
      <c r="Z101" s="8" t="s">
        <v>74</v>
      </c>
      <c r="AA101" s="8" t="n">
        <v>41</v>
      </c>
      <c r="AB101" s="8" t="n">
        <v>1</v>
      </c>
      <c r="AC101" s="11" t="n">
        <f aca="false">IF(AND(ISNUMBER(AA101),ISNUMBER(D101),D101&gt;0),AA101/D101*100,"")</f>
        <v>1.26076260762608</v>
      </c>
      <c r="AD101" s="12" t="n">
        <v>1136</v>
      </c>
      <c r="AE101" s="8" t="s">
        <v>74</v>
      </c>
      <c r="AF101" s="8" t="s">
        <v>74</v>
      </c>
      <c r="AG101" s="12" t="n">
        <v>250</v>
      </c>
      <c r="AH101" s="12" t="n">
        <v>278.59</v>
      </c>
      <c r="AI101" s="12" t="n">
        <v>349.26</v>
      </c>
      <c r="AJ101" s="12" t="n">
        <v>407.89</v>
      </c>
      <c r="AK101" s="8" t="n">
        <v>18</v>
      </c>
      <c r="AL101" s="10" t="n">
        <v>0.6</v>
      </c>
      <c r="AM101" s="8" t="s">
        <v>74</v>
      </c>
      <c r="AN101" s="12" t="n">
        <v>29</v>
      </c>
      <c r="AO101" s="8" t="s">
        <v>77</v>
      </c>
      <c r="AP101" s="8" t="s">
        <v>74</v>
      </c>
      <c r="AQ101" s="10" t="n">
        <v>0.8</v>
      </c>
      <c r="AR101" s="8" t="n">
        <v>2</v>
      </c>
      <c r="AS101" s="8" t="n">
        <v>1</v>
      </c>
      <c r="AT101" s="8" t="n">
        <v>0</v>
      </c>
      <c r="AU101" s="8" t="n">
        <v>2</v>
      </c>
      <c r="AV101" s="8" t="n">
        <v>1</v>
      </c>
      <c r="AW101" s="8" t="n">
        <v>1</v>
      </c>
      <c r="AX101" s="8" t="n">
        <v>2</v>
      </c>
      <c r="AY101" s="8" t="n">
        <v>2</v>
      </c>
      <c r="AZ101" s="8" t="n">
        <v>2</v>
      </c>
      <c r="BA101" s="8" t="n">
        <v>0</v>
      </c>
      <c r="BB101" s="8" t="n">
        <v>3</v>
      </c>
      <c r="BC101" s="8" t="n">
        <v>3</v>
      </c>
      <c r="BD101" s="8" t="n">
        <v>2</v>
      </c>
      <c r="BE101" s="8" t="n">
        <v>1</v>
      </c>
      <c r="BF101" s="8" t="n">
        <v>1</v>
      </c>
      <c r="BG101" s="8" t="n">
        <v>0</v>
      </c>
      <c r="BH101" s="8" t="n">
        <v>4</v>
      </c>
      <c r="BI101" s="8" t="n">
        <v>4</v>
      </c>
      <c r="BJ101" s="9" t="n">
        <v>95</v>
      </c>
      <c r="BK101" s="9" t="n">
        <v>3</v>
      </c>
      <c r="BL101" s="9" t="n">
        <v>498</v>
      </c>
      <c r="BM101" s="9" t="n">
        <v>46</v>
      </c>
      <c r="BN101" s="10" t="n">
        <v>0.4</v>
      </c>
      <c r="BO101" s="10" t="n">
        <v>0.3</v>
      </c>
      <c r="BP101" s="10" t="n">
        <f aca="false">IF(AND(ISNUMBER(BN101),ISNUMBER(BO101)),BN101+BO101,"")</f>
        <v>0.7</v>
      </c>
      <c r="BQ101" s="10" t="n">
        <v>0.2</v>
      </c>
      <c r="BR101" s="10" t="n">
        <v>0.1</v>
      </c>
      <c r="BS101" s="10" t="n">
        <v>0</v>
      </c>
    </row>
    <row r="102" customFormat="false" ht="15" hidden="false" customHeight="false" outlineLevel="0" collapsed="false">
      <c r="A102" s="8" t="s">
        <v>99</v>
      </c>
      <c r="B102" s="8" t="s">
        <v>120</v>
      </c>
      <c r="C102" s="8" t="n">
        <v>3</v>
      </c>
      <c r="D102" s="9" t="n">
        <v>64</v>
      </c>
      <c r="E102" s="9" t="n">
        <v>85</v>
      </c>
      <c r="F102" s="8" t="s">
        <v>92</v>
      </c>
      <c r="G102" s="8" t="s">
        <v>74</v>
      </c>
      <c r="H102" s="10" t="n">
        <v>0</v>
      </c>
      <c r="I102" s="10" t="n">
        <v>0.016</v>
      </c>
      <c r="J102" s="10" t="n">
        <v>0.013</v>
      </c>
      <c r="K102" s="8" t="n">
        <v>0</v>
      </c>
      <c r="L102" s="8" t="n">
        <v>15</v>
      </c>
      <c r="M102" s="10" t="n">
        <v>0.001</v>
      </c>
      <c r="N102" s="8" t="n">
        <v>0</v>
      </c>
      <c r="O102" s="9" t="n">
        <v>0</v>
      </c>
      <c r="P102" s="10" t="n">
        <f aca="false">IF(AND(ISNUMBER(O102),ISNUMBER(D102),D102&gt;0),O102/D102,"")</f>
        <v>0</v>
      </c>
      <c r="Q102" s="9" t="n">
        <v>0</v>
      </c>
      <c r="R102" s="9" t="n">
        <v>0</v>
      </c>
      <c r="S102" s="9" t="n">
        <v>8</v>
      </c>
      <c r="T102" s="11" t="n">
        <f aca="false">IF(AND(ISNUMBER(S102),ISNUMBER(D102),D102&gt;0),S102/D102,"")</f>
        <v>0.125</v>
      </c>
      <c r="U102" s="10" t="n">
        <v>0.08</v>
      </c>
      <c r="V102" s="10" t="n">
        <v>0.13</v>
      </c>
      <c r="W102" s="10" t="n">
        <v>0.13</v>
      </c>
      <c r="X102" s="10" t="n">
        <v>0.01</v>
      </c>
      <c r="Y102" s="8" t="n">
        <v>0</v>
      </c>
      <c r="Z102" s="8" t="s">
        <v>77</v>
      </c>
      <c r="AA102" s="8" t="n">
        <v>0</v>
      </c>
      <c r="AB102" s="8" t="n">
        <v>0</v>
      </c>
      <c r="AC102" s="11" t="n">
        <f aca="false">IF(AND(ISNUMBER(AA102),ISNUMBER(D102),D102&gt;0),AA102/D102*100,"")</f>
        <v>0</v>
      </c>
      <c r="AD102" s="12"/>
      <c r="AE102" s="8" t="s">
        <v>74</v>
      </c>
      <c r="AF102" s="8" t="s">
        <v>77</v>
      </c>
      <c r="AG102" s="12" t="n">
        <v>325</v>
      </c>
      <c r="AH102" s="12" t="n">
        <v>411.78</v>
      </c>
      <c r="AI102" s="12" t="n">
        <v>481.33</v>
      </c>
      <c r="AJ102" s="12" t="n">
        <v>542</v>
      </c>
      <c r="AK102" s="8" t="n">
        <v>32</v>
      </c>
      <c r="AL102" s="10" t="n">
        <v>1.3</v>
      </c>
      <c r="AM102" s="8" t="s">
        <v>77</v>
      </c>
      <c r="AN102" s="12"/>
      <c r="AO102" s="8" t="s">
        <v>74</v>
      </c>
      <c r="AP102" s="8" t="s">
        <v>74</v>
      </c>
      <c r="AQ102" s="10"/>
      <c r="AR102" s="8" t="n">
        <v>3</v>
      </c>
      <c r="AS102" s="8" t="n">
        <v>0</v>
      </c>
      <c r="AT102" s="8" t="n">
        <v>3</v>
      </c>
      <c r="AU102" s="8" t="n">
        <v>3</v>
      </c>
      <c r="AV102" s="8" t="n">
        <v>4</v>
      </c>
      <c r="AW102" s="8" t="n">
        <v>5</v>
      </c>
      <c r="AX102" s="8" t="n">
        <v>1</v>
      </c>
      <c r="AY102" s="8" t="n">
        <v>2</v>
      </c>
      <c r="AZ102" s="8" t="n">
        <v>5</v>
      </c>
      <c r="BA102" s="8" t="n">
        <v>4</v>
      </c>
      <c r="BB102" s="8" t="n">
        <v>3</v>
      </c>
      <c r="BC102" s="8" t="n">
        <v>5</v>
      </c>
      <c r="BD102" s="8" t="n">
        <v>1</v>
      </c>
      <c r="BE102" s="8" t="n">
        <v>1</v>
      </c>
      <c r="BF102" s="8" t="n">
        <v>3</v>
      </c>
      <c r="BG102" s="8" t="n">
        <v>3</v>
      </c>
      <c r="BH102" s="8" t="n">
        <v>4</v>
      </c>
      <c r="BI102" s="8" t="n">
        <v>3</v>
      </c>
      <c r="BJ102" s="9" t="n">
        <v>1</v>
      </c>
      <c r="BK102" s="9" t="n">
        <v>0</v>
      </c>
      <c r="BL102" s="9" t="n">
        <v>0</v>
      </c>
      <c r="BM102" s="9" t="n">
        <v>0</v>
      </c>
      <c r="BN102" s="10" t="n">
        <v>0.2</v>
      </c>
      <c r="BO102" s="10" t="n">
        <v>0.3</v>
      </c>
      <c r="BP102" s="10" t="n">
        <f aca="false">IF(AND(ISNUMBER(BN102),ISNUMBER(BO102)),BN102+BO102,"")</f>
        <v>0.5</v>
      </c>
      <c r="BQ102" s="10" t="n">
        <v>0.3</v>
      </c>
      <c r="BR102" s="10" t="n">
        <v>0.1</v>
      </c>
      <c r="BS102" s="10" t="n">
        <v>0.1</v>
      </c>
    </row>
    <row r="103" customFormat="false" ht="15" hidden="false" customHeight="false" outlineLevel="0" collapsed="false">
      <c r="A103" s="8" t="s">
        <v>100</v>
      </c>
      <c r="B103" s="8" t="s">
        <v>120</v>
      </c>
      <c r="C103" s="8" t="n">
        <v>3</v>
      </c>
      <c r="D103" s="9" t="n">
        <v>517</v>
      </c>
      <c r="E103" s="9" t="n">
        <v>75</v>
      </c>
      <c r="F103" s="8" t="s">
        <v>81</v>
      </c>
      <c r="G103" s="8" t="s">
        <v>74</v>
      </c>
      <c r="H103" s="10" t="n">
        <v>0</v>
      </c>
      <c r="I103" s="10" t="n">
        <v>0.044</v>
      </c>
      <c r="J103" s="10" t="n">
        <v>0.034</v>
      </c>
      <c r="K103" s="8" t="n">
        <v>0</v>
      </c>
      <c r="L103" s="8" t="n">
        <v>20</v>
      </c>
      <c r="M103" s="10" t="n">
        <v>0.124</v>
      </c>
      <c r="N103" s="8" t="n">
        <v>0</v>
      </c>
      <c r="O103" s="9" t="n">
        <v>56</v>
      </c>
      <c r="P103" s="10" t="n">
        <f aca="false">IF(AND(ISNUMBER(O103),ISNUMBER(D103),D103&gt;0),O103/D103,"")</f>
        <v>0.108317214700193</v>
      </c>
      <c r="Q103" s="9" t="n">
        <v>3</v>
      </c>
      <c r="R103" s="9" t="n">
        <v>3</v>
      </c>
      <c r="S103" s="9" t="n">
        <v>195</v>
      </c>
      <c r="T103" s="11" t="n">
        <f aca="false">IF(AND(ISNUMBER(S103),ISNUMBER(D103),D103&gt;0),S103/D103,"")</f>
        <v>0.377176015473888</v>
      </c>
      <c r="U103" s="10" t="n">
        <v>0.1</v>
      </c>
      <c r="V103" s="10" t="n">
        <v>0.07</v>
      </c>
      <c r="W103" s="10" t="n">
        <v>0.07</v>
      </c>
      <c r="X103" s="10" t="n">
        <v>0.1</v>
      </c>
      <c r="Y103" s="8" t="n">
        <v>0</v>
      </c>
      <c r="Z103" s="8" t="s">
        <v>74</v>
      </c>
      <c r="AA103" s="8" t="n">
        <v>12</v>
      </c>
      <c r="AB103" s="8" t="n">
        <v>0</v>
      </c>
      <c r="AC103" s="11" t="n">
        <f aca="false">IF(AND(ISNUMBER(AA103),ISNUMBER(D103),D103&gt;0),AA103/D103*100,"")</f>
        <v>2.321083172147</v>
      </c>
      <c r="AD103" s="12" t="n">
        <v>8000</v>
      </c>
      <c r="AE103" s="8" t="s">
        <v>74</v>
      </c>
      <c r="AF103" s="8" t="s">
        <v>77</v>
      </c>
      <c r="AG103" s="12" t="n">
        <v>345.89</v>
      </c>
      <c r="AH103" s="12" t="n">
        <v>416.64</v>
      </c>
      <c r="AI103" s="12" t="n">
        <v>463.81</v>
      </c>
      <c r="AJ103" s="12" t="n">
        <v>495.25</v>
      </c>
      <c r="AK103" s="8" t="n">
        <v>25</v>
      </c>
      <c r="AL103" s="10" t="n">
        <v>0.6</v>
      </c>
      <c r="AM103" s="8" t="s">
        <v>77</v>
      </c>
      <c r="AN103" s="12"/>
      <c r="AO103" s="8" t="s">
        <v>77</v>
      </c>
      <c r="AP103" s="8" t="s">
        <v>74</v>
      </c>
      <c r="AQ103" s="10" t="n">
        <v>0.9</v>
      </c>
      <c r="AR103" s="8" t="n">
        <v>4</v>
      </c>
      <c r="AS103" s="8" t="n">
        <v>2</v>
      </c>
      <c r="AT103" s="8" t="n">
        <v>1</v>
      </c>
      <c r="AU103" s="8" t="n">
        <v>4</v>
      </c>
      <c r="AV103" s="8" t="n">
        <v>1</v>
      </c>
      <c r="AW103" s="8" t="n">
        <v>1</v>
      </c>
      <c r="AX103" s="8" t="n">
        <v>1</v>
      </c>
      <c r="AY103" s="8" t="n">
        <v>2</v>
      </c>
      <c r="AZ103" s="8" t="n">
        <v>2</v>
      </c>
      <c r="BA103" s="8" t="n">
        <v>2</v>
      </c>
      <c r="BB103" s="8" t="n">
        <v>3</v>
      </c>
      <c r="BC103" s="8" t="n">
        <v>3</v>
      </c>
      <c r="BD103" s="8" t="n">
        <v>2</v>
      </c>
      <c r="BE103" s="8" t="n">
        <v>2</v>
      </c>
      <c r="BF103" s="8" t="n">
        <v>1</v>
      </c>
      <c r="BG103" s="8" t="n">
        <v>2</v>
      </c>
      <c r="BH103" s="8" t="n">
        <v>4</v>
      </c>
      <c r="BI103" s="8" t="n">
        <v>1</v>
      </c>
      <c r="BJ103" s="9" t="n">
        <v>13</v>
      </c>
      <c r="BK103" s="9" t="n">
        <v>0</v>
      </c>
      <c r="BL103" s="9"/>
      <c r="BM103" s="9" t="n">
        <v>44</v>
      </c>
      <c r="BN103" s="10" t="n">
        <v>0.7</v>
      </c>
      <c r="BO103" s="10" t="n">
        <v>0.1</v>
      </c>
      <c r="BP103" s="10" t="n">
        <f aca="false">IF(AND(ISNUMBER(BN103),ISNUMBER(BO103)),BN103+BO103,"")</f>
        <v>0.8</v>
      </c>
      <c r="BQ103" s="10" t="n">
        <v>0.2</v>
      </c>
      <c r="BR103" s="10" t="n">
        <v>0</v>
      </c>
      <c r="BS103" s="10" t="n">
        <v>0</v>
      </c>
    </row>
    <row r="104" customFormat="false" ht="15" hidden="false" customHeight="false" outlineLevel="0" collapsed="false">
      <c r="A104" s="8" t="s">
        <v>101</v>
      </c>
      <c r="B104" s="8" t="s">
        <v>120</v>
      </c>
      <c r="C104" s="8" t="n">
        <v>3</v>
      </c>
      <c r="D104" s="9" t="n">
        <v>314</v>
      </c>
      <c r="E104" s="9" t="n">
        <v>166</v>
      </c>
      <c r="F104" s="8" t="s">
        <v>92</v>
      </c>
      <c r="G104" s="8" t="s">
        <v>74</v>
      </c>
      <c r="H104" s="10"/>
      <c r="I104" s="10" t="n">
        <v>0.037</v>
      </c>
      <c r="J104" s="10" t="n">
        <v>0.01</v>
      </c>
      <c r="K104" s="8" t="n">
        <v>0</v>
      </c>
      <c r="L104" s="8" t="n">
        <v>7</v>
      </c>
      <c r="M104" s="10" t="n">
        <v>0.013</v>
      </c>
      <c r="N104" s="8" t="n">
        <v>0</v>
      </c>
      <c r="O104" s="9" t="n">
        <v>19</v>
      </c>
      <c r="P104" s="10" t="n">
        <f aca="false">IF(AND(ISNUMBER(O104),ISNUMBER(D104),D104&gt;0),O104/D104,"")</f>
        <v>0.0605095541401274</v>
      </c>
      <c r="Q104" s="9" t="n">
        <v>26</v>
      </c>
      <c r="R104" s="9" t="n">
        <v>25</v>
      </c>
      <c r="S104" s="9" t="n">
        <v>300</v>
      </c>
      <c r="T104" s="11" t="n">
        <f aca="false">IF(AND(ISNUMBER(S104),ISNUMBER(D104),D104&gt;0),S104/D104,"")</f>
        <v>0.955414012738854</v>
      </c>
      <c r="U104" s="10" t="n">
        <v>0.07</v>
      </c>
      <c r="V104" s="10" t="n">
        <v>0.07</v>
      </c>
      <c r="W104" s="10" t="n">
        <v>0.06</v>
      </c>
      <c r="X104" s="10" t="n">
        <v>0.12</v>
      </c>
      <c r="Y104" s="8" t="n">
        <v>0</v>
      </c>
      <c r="Z104" s="8" t="s">
        <v>74</v>
      </c>
      <c r="AA104" s="8" t="n">
        <v>27</v>
      </c>
      <c r="AB104" s="8" t="n">
        <v>0</v>
      </c>
      <c r="AC104" s="11" t="n">
        <f aca="false">IF(AND(ISNUMBER(AA104),ISNUMBER(D104),D104&gt;0),AA104/D104*100,"")</f>
        <v>8.59872611464968</v>
      </c>
      <c r="AD104" s="12" t="n">
        <v>2500</v>
      </c>
      <c r="AE104" s="8" t="s">
        <v>74</v>
      </c>
      <c r="AF104" s="8" t="s">
        <v>77</v>
      </c>
      <c r="AG104" s="12" t="n">
        <v>312.59</v>
      </c>
      <c r="AH104" s="12" t="n">
        <v>321.31</v>
      </c>
      <c r="AI104" s="12" t="n">
        <v>427.65</v>
      </c>
      <c r="AJ104" s="12" t="n">
        <v>427.65</v>
      </c>
      <c r="AK104" s="8" t="n">
        <v>15</v>
      </c>
      <c r="AL104" s="10" t="n">
        <v>0.25</v>
      </c>
      <c r="AM104" s="8" t="s">
        <v>74</v>
      </c>
      <c r="AN104" s="12" t="n">
        <v>62</v>
      </c>
      <c r="AO104" s="8" t="s">
        <v>77</v>
      </c>
      <c r="AP104" s="8" t="s">
        <v>74</v>
      </c>
      <c r="AQ104" s="10" t="n">
        <v>0.97</v>
      </c>
      <c r="AR104" s="8" t="n">
        <v>4</v>
      </c>
      <c r="AS104" s="8" t="n">
        <v>3</v>
      </c>
      <c r="AT104" s="8" t="n">
        <v>3</v>
      </c>
      <c r="AU104" s="8" t="n">
        <v>2</v>
      </c>
      <c r="AV104" s="8" t="n">
        <v>3</v>
      </c>
      <c r="AW104" s="8" t="n">
        <v>3</v>
      </c>
      <c r="AX104" s="8" t="n">
        <v>4</v>
      </c>
      <c r="AY104" s="8" t="n">
        <v>5</v>
      </c>
      <c r="AZ104" s="8" t="n">
        <v>1</v>
      </c>
      <c r="BA104" s="8" t="n">
        <v>2</v>
      </c>
      <c r="BB104" s="8" t="n">
        <v>1</v>
      </c>
      <c r="BC104" s="8" t="n">
        <v>4</v>
      </c>
      <c r="BD104" s="8" t="n">
        <v>3</v>
      </c>
      <c r="BE104" s="8" t="n">
        <v>3</v>
      </c>
      <c r="BF104" s="8" t="n">
        <v>1</v>
      </c>
      <c r="BG104" s="8" t="n">
        <v>1</v>
      </c>
      <c r="BH104" s="8" t="n">
        <v>3</v>
      </c>
      <c r="BI104" s="8" t="n">
        <v>3</v>
      </c>
      <c r="BJ104" s="9" t="n">
        <v>5</v>
      </c>
      <c r="BK104" s="9" t="n">
        <v>6</v>
      </c>
      <c r="BL104" s="9" t="n">
        <v>1</v>
      </c>
      <c r="BM104" s="9" t="n">
        <v>13</v>
      </c>
      <c r="BN104" s="10" t="n">
        <v>0.1</v>
      </c>
      <c r="BO104" s="10" t="n">
        <v>0</v>
      </c>
      <c r="BP104" s="10" t="n">
        <f aca="false">IF(AND(ISNUMBER(BN104),ISNUMBER(BO104)),BN104+BO104,"")</f>
        <v>0.1</v>
      </c>
      <c r="BQ104" s="10" t="n">
        <v>0</v>
      </c>
      <c r="BR104" s="10" t="n">
        <v>0.6</v>
      </c>
      <c r="BS104" s="10" t="n">
        <v>0.3</v>
      </c>
    </row>
    <row r="105" customFormat="false" ht="15" hidden="false" customHeight="false" outlineLevel="0" collapsed="false">
      <c r="A105" s="8" t="s">
        <v>102</v>
      </c>
      <c r="B105" s="8" t="s">
        <v>120</v>
      </c>
      <c r="C105" s="8" t="n">
        <v>3</v>
      </c>
      <c r="D105" s="9" t="n">
        <v>842</v>
      </c>
      <c r="E105" s="9" t="n">
        <v>73</v>
      </c>
      <c r="F105" s="8" t="s">
        <v>92</v>
      </c>
      <c r="G105" s="8" t="s">
        <v>74</v>
      </c>
      <c r="H105" s="10" t="n">
        <v>0.2</v>
      </c>
      <c r="I105" s="10" t="n">
        <v>0.036</v>
      </c>
      <c r="J105" s="10" t="n">
        <v>0.029</v>
      </c>
      <c r="K105" s="8" t="n">
        <v>0</v>
      </c>
      <c r="L105" s="8" t="n">
        <v>30</v>
      </c>
      <c r="M105" s="10" t="n">
        <v>0.01</v>
      </c>
      <c r="N105" s="8" t="n">
        <v>0</v>
      </c>
      <c r="O105" s="9" t="n">
        <v>94</v>
      </c>
      <c r="P105" s="10" t="n">
        <f aca="false">IF(AND(ISNUMBER(O105),ISNUMBER(D105),D105&gt;0),O105/D105,"")</f>
        <v>0.111638954869359</v>
      </c>
      <c r="Q105" s="9" t="n">
        <v>33</v>
      </c>
      <c r="R105" s="9" t="n">
        <v>33</v>
      </c>
      <c r="S105" s="9" t="n">
        <v>1145</v>
      </c>
      <c r="T105" s="11" t="n">
        <f aca="false">IF(AND(ISNUMBER(S105),ISNUMBER(D105),D105&gt;0),S105/D105,"")</f>
        <v>1.35985748218527</v>
      </c>
      <c r="U105" s="10" t="n">
        <v>0.06</v>
      </c>
      <c r="V105" s="10" t="n">
        <v>0.12</v>
      </c>
      <c r="W105" s="10" t="n">
        <v>0.08</v>
      </c>
      <c r="X105" s="10" t="n">
        <v>0.2</v>
      </c>
      <c r="Y105" s="8" t="n">
        <v>1</v>
      </c>
      <c r="Z105" s="8" t="s">
        <v>74</v>
      </c>
      <c r="AA105" s="8" t="n">
        <v>30</v>
      </c>
      <c r="AB105" s="8" t="n">
        <v>0</v>
      </c>
      <c r="AC105" s="11" t="n">
        <f aca="false">IF(AND(ISNUMBER(AA105),ISNUMBER(D105),D105&gt;0),AA105/D105*100,"")</f>
        <v>3.56294536817102</v>
      </c>
      <c r="AD105" s="12" t="n">
        <v>1333</v>
      </c>
      <c r="AE105" s="8" t="s">
        <v>74</v>
      </c>
      <c r="AF105" s="8" t="s">
        <v>77</v>
      </c>
      <c r="AG105" s="12" t="n">
        <v>331.48</v>
      </c>
      <c r="AH105" s="12" t="n">
        <v>450.29</v>
      </c>
      <c r="AI105" s="12" t="n">
        <v>508.5</v>
      </c>
      <c r="AJ105" s="12" t="n">
        <v>725.58</v>
      </c>
      <c r="AK105" s="8" t="n">
        <v>20</v>
      </c>
      <c r="AL105" s="10" t="n">
        <v>0.5</v>
      </c>
      <c r="AM105" s="8" t="s">
        <v>77</v>
      </c>
      <c r="AN105" s="12"/>
      <c r="AO105" s="8" t="s">
        <v>77</v>
      </c>
      <c r="AP105" s="8" t="s">
        <v>74</v>
      </c>
      <c r="AQ105" s="10" t="n">
        <v>0.95</v>
      </c>
      <c r="AR105" s="8" t="n">
        <v>3</v>
      </c>
      <c r="AS105" s="8" t="n">
        <v>1</v>
      </c>
      <c r="AT105" s="8" t="n">
        <v>2</v>
      </c>
      <c r="AU105" s="8" t="n">
        <v>2</v>
      </c>
      <c r="AV105" s="8" t="n">
        <v>3</v>
      </c>
      <c r="AW105" s="8" t="n">
        <v>4</v>
      </c>
      <c r="AX105" s="8" t="n">
        <v>0</v>
      </c>
      <c r="AY105" s="8" t="n">
        <v>1</v>
      </c>
      <c r="AZ105" s="8" t="n">
        <v>3</v>
      </c>
      <c r="BA105" s="8" t="n">
        <v>3</v>
      </c>
      <c r="BB105" s="8" t="n">
        <v>2</v>
      </c>
      <c r="BC105" s="8" t="n">
        <v>3</v>
      </c>
      <c r="BD105" s="8" t="n">
        <v>1</v>
      </c>
      <c r="BE105" s="8" t="n">
        <v>1</v>
      </c>
      <c r="BF105" s="8" t="n">
        <v>1</v>
      </c>
      <c r="BG105" s="8" t="n">
        <v>1</v>
      </c>
      <c r="BH105" s="8" t="n">
        <v>3</v>
      </c>
      <c r="BI105" s="8" t="n">
        <v>3</v>
      </c>
      <c r="BJ105" s="9" t="n">
        <v>19</v>
      </c>
      <c r="BK105" s="9" t="n">
        <v>42</v>
      </c>
      <c r="BL105" s="9" t="n">
        <v>21</v>
      </c>
      <c r="BM105" s="9" t="n">
        <v>12</v>
      </c>
      <c r="BN105" s="10" t="n">
        <v>0.5</v>
      </c>
      <c r="BO105" s="10" t="n">
        <v>0.3</v>
      </c>
      <c r="BP105" s="10" t="n">
        <f aca="false">IF(AND(ISNUMBER(BN105),ISNUMBER(BO105)),BN105+BO105,"")</f>
        <v>0.8</v>
      </c>
      <c r="BQ105" s="10" t="n">
        <v>0.1</v>
      </c>
      <c r="BR105" s="10" t="n">
        <v>0.1</v>
      </c>
      <c r="BS105" s="10" t="n">
        <v>0</v>
      </c>
    </row>
    <row r="106" customFormat="false" ht="15" hidden="false" customHeight="false" outlineLevel="0" collapsed="false">
      <c r="A106" s="8" t="s">
        <v>103</v>
      </c>
      <c r="B106" s="8" t="s">
        <v>120</v>
      </c>
      <c r="C106" s="8" t="n">
        <v>3</v>
      </c>
      <c r="D106" s="9" t="n">
        <v>601</v>
      </c>
      <c r="E106" s="9" t="n">
        <v>98</v>
      </c>
      <c r="F106" s="8" t="s">
        <v>92</v>
      </c>
      <c r="G106" s="8" t="s">
        <v>74</v>
      </c>
      <c r="H106" s="10" t="n">
        <v>0</v>
      </c>
      <c r="I106" s="10" t="n">
        <v>0.024</v>
      </c>
      <c r="J106" s="10" t="n">
        <v>0.05</v>
      </c>
      <c r="K106" s="8" t="n">
        <v>0</v>
      </c>
      <c r="L106" s="8" t="n">
        <v>2</v>
      </c>
      <c r="M106" s="10" t="n">
        <v>0.024</v>
      </c>
      <c r="N106" s="8" t="n">
        <v>0</v>
      </c>
      <c r="O106" s="9" t="n">
        <v>60</v>
      </c>
      <c r="P106" s="10" t="n">
        <f aca="false">IF(AND(ISNUMBER(O106),ISNUMBER(D106),D106&gt;0),O106/D106,"")</f>
        <v>0.0998336106489185</v>
      </c>
      <c r="Q106" s="9" t="n">
        <v>2</v>
      </c>
      <c r="R106" s="9" t="n">
        <v>2</v>
      </c>
      <c r="S106" s="9" t="n">
        <v>673</v>
      </c>
      <c r="T106" s="11" t="n">
        <f aca="false">IF(AND(ISNUMBER(S106),ISNUMBER(D106),D106&gt;0),S106/D106,"")</f>
        <v>1.1198003327787</v>
      </c>
      <c r="U106" s="10" t="n">
        <v>0.05</v>
      </c>
      <c r="V106" s="10" t="n">
        <v>0.085</v>
      </c>
      <c r="W106" s="10" t="n">
        <v>0.085</v>
      </c>
      <c r="X106" s="10" t="n">
        <v>0.07</v>
      </c>
      <c r="Y106" s="8" t="n">
        <v>0</v>
      </c>
      <c r="Z106" s="8" t="s">
        <v>74</v>
      </c>
      <c r="AA106" s="8" t="n">
        <v>15</v>
      </c>
      <c r="AB106" s="8" t="n">
        <v>0</v>
      </c>
      <c r="AC106" s="11" t="n">
        <f aca="false">IF(AND(ISNUMBER(AA106),ISNUMBER(D106),D106&gt;0),AA106/D106*100,"")</f>
        <v>2.49584026622296</v>
      </c>
      <c r="AD106" s="12" t="n">
        <v>998</v>
      </c>
      <c r="AE106" s="8"/>
      <c r="AF106" s="8" t="s">
        <v>77</v>
      </c>
      <c r="AG106" s="12" t="n">
        <v>316</v>
      </c>
      <c r="AH106" s="12" t="n">
        <v>342</v>
      </c>
      <c r="AI106" s="12" t="n">
        <v>399</v>
      </c>
      <c r="AJ106" s="12" t="n">
        <v>411</v>
      </c>
      <c r="AK106" s="8" t="n">
        <v>18</v>
      </c>
      <c r="AL106" s="10" t="n">
        <v>0.25</v>
      </c>
      <c r="AM106" s="8" t="s">
        <v>74</v>
      </c>
      <c r="AN106" s="12" t="n">
        <v>28</v>
      </c>
      <c r="AO106" s="8" t="s">
        <v>77</v>
      </c>
      <c r="AP106" s="8" t="s">
        <v>74</v>
      </c>
      <c r="AQ106" s="10" t="n">
        <v>0.83</v>
      </c>
      <c r="AR106" s="8" t="n">
        <v>2</v>
      </c>
      <c r="AS106" s="8" t="n">
        <v>2</v>
      </c>
      <c r="AT106" s="8" t="n">
        <v>0</v>
      </c>
      <c r="AU106" s="8" t="n">
        <v>1</v>
      </c>
      <c r="AV106" s="8" t="n">
        <v>0</v>
      </c>
      <c r="AW106" s="8" t="n">
        <v>0</v>
      </c>
      <c r="AX106" s="8" t="n">
        <v>1</v>
      </c>
      <c r="AY106" s="8" t="n">
        <v>1</v>
      </c>
      <c r="AZ106" s="8" t="n">
        <v>1</v>
      </c>
      <c r="BA106" s="8" t="n">
        <v>1</v>
      </c>
      <c r="BB106" s="8" t="n">
        <v>1</v>
      </c>
      <c r="BC106" s="8" t="n">
        <v>1</v>
      </c>
      <c r="BD106" s="8" t="n">
        <v>2</v>
      </c>
      <c r="BE106" s="8" t="n">
        <v>1</v>
      </c>
      <c r="BF106" s="8" t="n">
        <v>0</v>
      </c>
      <c r="BG106" s="8" t="n">
        <v>1</v>
      </c>
      <c r="BH106" s="8" t="n">
        <v>3</v>
      </c>
      <c r="BI106" s="8" t="n">
        <v>3</v>
      </c>
      <c r="BJ106" s="9" t="n">
        <v>22</v>
      </c>
      <c r="BK106" s="9" t="n">
        <v>23</v>
      </c>
      <c r="BL106" s="9"/>
      <c r="BM106" s="9" t="n">
        <v>18</v>
      </c>
      <c r="BN106" s="10" t="n">
        <v>0.3</v>
      </c>
      <c r="BO106" s="10" t="n">
        <v>0.3</v>
      </c>
      <c r="BP106" s="10" t="n">
        <f aca="false">IF(AND(ISNUMBER(BN106),ISNUMBER(BO106)),BN106+BO106,"")</f>
        <v>0.6</v>
      </c>
      <c r="BQ106" s="10" t="n">
        <v>0.2</v>
      </c>
      <c r="BR106" s="10" t="n">
        <v>0.1</v>
      </c>
      <c r="BS106" s="10" t="n">
        <v>0.1</v>
      </c>
    </row>
    <row r="107" customFormat="false" ht="15" hidden="false" customHeight="false" outlineLevel="0" collapsed="false">
      <c r="A107" s="8" t="s">
        <v>104</v>
      </c>
      <c r="B107" s="8" t="s">
        <v>120</v>
      </c>
      <c r="C107" s="8" t="n">
        <v>3</v>
      </c>
      <c r="D107" s="9" t="n">
        <v>439</v>
      </c>
      <c r="E107" s="9" t="n">
        <v>35</v>
      </c>
      <c r="F107" s="8" t="s">
        <v>76</v>
      </c>
      <c r="G107" s="8" t="s">
        <v>74</v>
      </c>
      <c r="H107" s="10"/>
      <c r="I107" s="10" t="n">
        <v>0.012</v>
      </c>
      <c r="J107" s="10" t="n">
        <v>0.1</v>
      </c>
      <c r="K107" s="8" t="n">
        <v>0</v>
      </c>
      <c r="L107" s="8"/>
      <c r="M107" s="10" t="n">
        <v>0.1</v>
      </c>
      <c r="N107" s="8" t="n">
        <v>0</v>
      </c>
      <c r="O107" s="9" t="n">
        <v>120</v>
      </c>
      <c r="P107" s="10" t="n">
        <f aca="false">IF(AND(ISNUMBER(O107),ISNUMBER(D107),D107&gt;0),O107/D107,"")</f>
        <v>0.273348519362187</v>
      </c>
      <c r="Q107" s="9"/>
      <c r="R107" s="9" t="n">
        <v>90</v>
      </c>
      <c r="S107" s="9" t="n">
        <v>134</v>
      </c>
      <c r="T107" s="11" t="n">
        <f aca="false">IF(AND(ISNUMBER(S107),ISNUMBER(D107),D107&gt;0),S107/D107,"")</f>
        <v>0.305239179954442</v>
      </c>
      <c r="U107" s="10" t="n">
        <v>0.06</v>
      </c>
      <c r="V107" s="10" t="n">
        <v>0.105</v>
      </c>
      <c r="W107" s="10" t="n">
        <v>0.12</v>
      </c>
      <c r="X107" s="10" t="n">
        <v>0.005</v>
      </c>
      <c r="Y107" s="8" t="n">
        <v>1</v>
      </c>
      <c r="Z107" s="8" t="s">
        <v>77</v>
      </c>
      <c r="AA107" s="8" t="n">
        <v>0</v>
      </c>
      <c r="AB107" s="8" t="n">
        <v>0</v>
      </c>
      <c r="AC107" s="11" t="n">
        <f aca="false">IF(AND(ISNUMBER(AA107),ISNUMBER(D107),D107&gt;0),AA107/D107*100,"")</f>
        <v>0</v>
      </c>
      <c r="AD107" s="12"/>
      <c r="AE107" s="8" t="s">
        <v>77</v>
      </c>
      <c r="AF107" s="8" t="s">
        <v>74</v>
      </c>
      <c r="AG107" s="12" t="n">
        <v>226</v>
      </c>
      <c r="AH107" s="12" t="n">
        <v>248.5</v>
      </c>
      <c r="AI107" s="12" t="n">
        <v>282</v>
      </c>
      <c r="AJ107" s="12" t="n">
        <v>423.5</v>
      </c>
      <c r="AK107" s="8" t="n">
        <v>32</v>
      </c>
      <c r="AL107" s="10" t="n">
        <v>0.5</v>
      </c>
      <c r="AM107" s="8" t="s">
        <v>77</v>
      </c>
      <c r="AN107" s="12"/>
      <c r="AO107" s="8" t="s">
        <v>77</v>
      </c>
      <c r="AP107" s="8" t="s">
        <v>74</v>
      </c>
      <c r="AQ107" s="10"/>
      <c r="AR107" s="8" t="n">
        <v>1</v>
      </c>
      <c r="AS107" s="8" t="n">
        <v>1</v>
      </c>
      <c r="AT107" s="8" t="n">
        <v>2</v>
      </c>
      <c r="AU107" s="8" t="n">
        <v>3</v>
      </c>
      <c r="AV107" s="8" t="n">
        <v>1</v>
      </c>
      <c r="AW107" s="8" t="n">
        <v>1</v>
      </c>
      <c r="AX107" s="8" t="n">
        <v>2</v>
      </c>
      <c r="AY107" s="8" t="n">
        <v>1</v>
      </c>
      <c r="AZ107" s="8" t="n">
        <v>1</v>
      </c>
      <c r="BA107" s="8" t="n">
        <v>1</v>
      </c>
      <c r="BB107" s="8" t="n">
        <v>3</v>
      </c>
      <c r="BC107" s="8" t="n">
        <v>3</v>
      </c>
      <c r="BD107" s="8" t="n">
        <v>1</v>
      </c>
      <c r="BE107" s="8" t="n">
        <v>1</v>
      </c>
      <c r="BF107" s="8" t="n">
        <v>0</v>
      </c>
      <c r="BG107" s="8" t="n">
        <v>0</v>
      </c>
      <c r="BH107" s="8" t="n">
        <v>4</v>
      </c>
      <c r="BI107" s="8" t="n">
        <v>5</v>
      </c>
      <c r="BJ107" s="9" t="n">
        <v>48</v>
      </c>
      <c r="BK107" s="9" t="n">
        <v>57</v>
      </c>
      <c r="BL107" s="9" t="n">
        <v>10</v>
      </c>
      <c r="BM107" s="9" t="n">
        <v>2</v>
      </c>
      <c r="BN107" s="10" t="n">
        <v>0.4</v>
      </c>
      <c r="BO107" s="10" t="n">
        <v>0.3</v>
      </c>
      <c r="BP107" s="10" t="n">
        <f aca="false">IF(AND(ISNUMBER(BN107),ISNUMBER(BO107)),BN107+BO107,"")</f>
        <v>0.7</v>
      </c>
      <c r="BQ107" s="10" t="n">
        <v>0.2</v>
      </c>
      <c r="BR107" s="10" t="n">
        <v>0.1</v>
      </c>
      <c r="BS107" s="10" t="n">
        <v>0</v>
      </c>
    </row>
    <row r="108" customFormat="false" ht="15" hidden="false" customHeight="false" outlineLevel="0" collapsed="false">
      <c r="A108" s="8" t="s">
        <v>105</v>
      </c>
      <c r="B108" s="8" t="s">
        <v>120</v>
      </c>
      <c r="C108" s="8" t="n">
        <v>3</v>
      </c>
      <c r="D108" s="9" t="n">
        <v>0</v>
      </c>
      <c r="E108" s="9" t="n">
        <v>12</v>
      </c>
      <c r="F108" s="8" t="s">
        <v>81</v>
      </c>
      <c r="G108" s="8" t="s">
        <v>77</v>
      </c>
      <c r="H108" s="10"/>
      <c r="I108" s="10" t="n">
        <v>0.001</v>
      </c>
      <c r="J108" s="10"/>
      <c r="K108" s="8" t="n">
        <v>0</v>
      </c>
      <c r="L108" s="8"/>
      <c r="M108" s="10" t="n">
        <v>0.001</v>
      </c>
      <c r="N108" s="8" t="n">
        <v>0</v>
      </c>
      <c r="O108" s="9" t="n">
        <v>0</v>
      </c>
      <c r="P108" s="10" t="str">
        <f aca="false">IF(AND(ISNUMBER(O108),ISNUMBER(D108),D108&gt;0),O108/D108,"")</f>
        <v/>
      </c>
      <c r="Q108" s="9" t="n">
        <v>0</v>
      </c>
      <c r="R108" s="9" t="n">
        <v>0</v>
      </c>
      <c r="S108" s="9" t="n">
        <v>0</v>
      </c>
      <c r="T108" s="11" t="str">
        <f aca="false">IF(AND(ISNUMBER(S108),ISNUMBER(D108),D108&gt;0),S108/D108,"")</f>
        <v/>
      </c>
      <c r="U108" s="10"/>
      <c r="V108" s="10"/>
      <c r="W108" s="10"/>
      <c r="X108" s="10"/>
      <c r="Y108" s="8" t="n">
        <v>0</v>
      </c>
      <c r="Z108" s="8" t="s">
        <v>77</v>
      </c>
      <c r="AA108" s="8" t="n">
        <v>0</v>
      </c>
      <c r="AB108" s="8" t="n">
        <v>0</v>
      </c>
      <c r="AC108" s="11" t="str">
        <f aca="false">IF(AND(ISNUMBER(AA108),ISNUMBER(D108),D108&gt;0),AA108/D108*100,"")</f>
        <v/>
      </c>
      <c r="AD108" s="12"/>
      <c r="AE108" s="8"/>
      <c r="AF108" s="8" t="s">
        <v>77</v>
      </c>
      <c r="AG108" s="12" t="n">
        <v>633.33</v>
      </c>
      <c r="AH108" s="12" t="n">
        <v>766.66</v>
      </c>
      <c r="AI108" s="12" t="n">
        <v>850</v>
      </c>
      <c r="AJ108" s="12" t="n">
        <v>900</v>
      </c>
      <c r="AK108" s="8"/>
      <c r="AL108" s="10"/>
      <c r="AM108" s="8" t="s">
        <v>77</v>
      </c>
      <c r="AN108" s="12"/>
      <c r="AO108" s="8" t="s">
        <v>77</v>
      </c>
      <c r="AP108" s="8"/>
      <c r="AQ108" s="10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9" t="n">
        <v>0</v>
      </c>
      <c r="BK108" s="9" t="n">
        <v>0</v>
      </c>
      <c r="BL108" s="9" t="n">
        <v>0</v>
      </c>
      <c r="BM108" s="9" t="n">
        <v>0</v>
      </c>
      <c r="BN108" s="10"/>
      <c r="BO108" s="10"/>
      <c r="BP108" s="10" t="str">
        <f aca="false">IF(AND(ISNUMBER(BN108),ISNUMBER(BO108)),BN108+BO108,"")</f>
        <v/>
      </c>
      <c r="BQ108" s="10"/>
      <c r="BR108" s="10"/>
      <c r="BS108" s="10"/>
    </row>
    <row r="109" customFormat="false" ht="15" hidden="false" customHeight="false" outlineLevel="0" collapsed="false">
      <c r="A109" s="8" t="s">
        <v>106</v>
      </c>
      <c r="B109" s="8" t="s">
        <v>120</v>
      </c>
      <c r="C109" s="8" t="n">
        <v>3</v>
      </c>
      <c r="D109" s="9" t="n">
        <v>1766</v>
      </c>
      <c r="E109" s="9" t="n">
        <v>480</v>
      </c>
      <c r="F109" s="8" t="s">
        <v>81</v>
      </c>
      <c r="G109" s="8" t="s">
        <v>74</v>
      </c>
      <c r="H109" s="10"/>
      <c r="I109" s="10" t="n">
        <v>0.052</v>
      </c>
      <c r="J109" s="10" t="n">
        <v>0.023</v>
      </c>
      <c r="K109" s="8" t="n">
        <v>0</v>
      </c>
      <c r="L109" s="8" t="n">
        <v>5</v>
      </c>
      <c r="M109" s="10" t="n">
        <v>0.012</v>
      </c>
      <c r="N109" s="8" t="n">
        <v>0</v>
      </c>
      <c r="O109" s="9" t="n">
        <v>146</v>
      </c>
      <c r="P109" s="10" t="n">
        <f aca="false">IF(AND(ISNUMBER(O109),ISNUMBER(D109),D109&gt;0),O109/D109,"")</f>
        <v>0.0826727066817667</v>
      </c>
      <c r="Q109" s="9" t="n">
        <v>78</v>
      </c>
      <c r="R109" s="9" t="n">
        <v>78</v>
      </c>
      <c r="S109" s="9" t="n">
        <v>1977</v>
      </c>
      <c r="T109" s="11" t="n">
        <f aca="false">IF(AND(ISNUMBER(S109),ISNUMBER(D109),D109&gt;0),S109/D109,"")</f>
        <v>1.11947904869762</v>
      </c>
      <c r="U109" s="10" t="n">
        <v>0.08</v>
      </c>
      <c r="V109" s="10" t="n">
        <v>0.08</v>
      </c>
      <c r="W109" s="10" t="n">
        <v>0.08</v>
      </c>
      <c r="X109" s="10"/>
      <c r="Y109" s="8" t="n">
        <v>0</v>
      </c>
      <c r="Z109" s="8" t="s">
        <v>74</v>
      </c>
      <c r="AA109" s="8" t="n">
        <v>9</v>
      </c>
      <c r="AB109" s="8" t="n">
        <v>0</v>
      </c>
      <c r="AC109" s="11" t="n">
        <f aca="false">IF(AND(ISNUMBER(AA109),ISNUMBER(D109),D109&gt;0),AA109/D109*100,"")</f>
        <v>0.509626274065685</v>
      </c>
      <c r="AD109" s="12" t="n">
        <v>1500</v>
      </c>
      <c r="AE109" s="8" t="s">
        <v>77</v>
      </c>
      <c r="AF109" s="8" t="s">
        <v>74</v>
      </c>
      <c r="AG109" s="12" t="n">
        <v>350</v>
      </c>
      <c r="AH109" s="12" t="n">
        <v>444</v>
      </c>
      <c r="AI109" s="12" t="n">
        <v>532</v>
      </c>
      <c r="AJ109" s="12" t="n">
        <v>757</v>
      </c>
      <c r="AK109" s="8" t="n">
        <v>22</v>
      </c>
      <c r="AL109" s="10" t="n">
        <v>0.5</v>
      </c>
      <c r="AM109" s="8" t="s">
        <v>77</v>
      </c>
      <c r="AN109" s="12"/>
      <c r="AO109" s="8" t="s">
        <v>77</v>
      </c>
      <c r="AP109" s="8" t="s">
        <v>74</v>
      </c>
      <c r="AQ109" s="10" t="n">
        <v>0.85</v>
      </c>
      <c r="AR109" s="8" t="n">
        <v>3</v>
      </c>
      <c r="AS109" s="8" t="n">
        <v>3</v>
      </c>
      <c r="AT109" s="8" t="n">
        <v>3</v>
      </c>
      <c r="AU109" s="8" t="n">
        <v>3</v>
      </c>
      <c r="AV109" s="8" t="n">
        <v>2</v>
      </c>
      <c r="AW109" s="8" t="n">
        <v>0</v>
      </c>
      <c r="AX109" s="8" t="n">
        <v>3</v>
      </c>
      <c r="AY109" s="8" t="n">
        <v>4</v>
      </c>
      <c r="AZ109" s="8" t="n">
        <v>2</v>
      </c>
      <c r="BA109" s="8" t="n">
        <v>2</v>
      </c>
      <c r="BB109" s="8" t="n">
        <v>2</v>
      </c>
      <c r="BC109" s="8" t="n">
        <v>4</v>
      </c>
      <c r="BD109" s="8" t="n">
        <v>0</v>
      </c>
      <c r="BE109" s="8" t="n">
        <v>0</v>
      </c>
      <c r="BF109" s="8" t="n">
        <v>2</v>
      </c>
      <c r="BG109" s="8" t="n">
        <v>2</v>
      </c>
      <c r="BH109" s="8" t="n">
        <v>2</v>
      </c>
      <c r="BI109" s="8" t="n">
        <v>4</v>
      </c>
      <c r="BJ109" s="9" t="n">
        <v>34</v>
      </c>
      <c r="BK109" s="9" t="n">
        <v>57</v>
      </c>
      <c r="BL109" s="9" t="n">
        <v>10</v>
      </c>
      <c r="BM109" s="9" t="n">
        <v>53</v>
      </c>
      <c r="BN109" s="10" t="n">
        <v>0.6</v>
      </c>
      <c r="BO109" s="10" t="n">
        <v>0.2</v>
      </c>
      <c r="BP109" s="10" t="n">
        <f aca="false">IF(AND(ISNUMBER(BN109),ISNUMBER(BO109)),BN109+BO109,"")</f>
        <v>0.8</v>
      </c>
      <c r="BQ109" s="10" t="n">
        <v>0.1</v>
      </c>
      <c r="BR109" s="10" t="n">
        <v>0</v>
      </c>
      <c r="BS109" s="10" t="n">
        <v>0.1</v>
      </c>
    </row>
    <row r="110" customFormat="false" ht="15" hidden="false" customHeight="false" outlineLevel="0" collapsed="false">
      <c r="A110" s="8" t="s">
        <v>107</v>
      </c>
      <c r="B110" s="8" t="s">
        <v>120</v>
      </c>
      <c r="C110" s="8" t="n">
        <v>3</v>
      </c>
      <c r="D110" s="9" t="n">
        <v>718</v>
      </c>
      <c r="E110" s="9" t="n">
        <v>266</v>
      </c>
      <c r="F110" s="8" t="s">
        <v>73</v>
      </c>
      <c r="G110" s="8" t="s">
        <v>74</v>
      </c>
      <c r="H110" s="10" t="n">
        <v>0.8</v>
      </c>
      <c r="I110" s="10" t="n">
        <v>0.055</v>
      </c>
      <c r="J110" s="10" t="n">
        <v>0.15</v>
      </c>
      <c r="K110" s="8" t="n">
        <v>1</v>
      </c>
      <c r="L110" s="8" t="n">
        <v>7</v>
      </c>
      <c r="M110" s="10" t="n">
        <v>0.04</v>
      </c>
      <c r="N110" s="8" t="n">
        <v>0</v>
      </c>
      <c r="O110" s="9" t="n">
        <v>47</v>
      </c>
      <c r="P110" s="10" t="n">
        <f aca="false">IF(AND(ISNUMBER(O110),ISNUMBER(D110),D110&gt;0),O110/D110,"")</f>
        <v>0.0654596100278552</v>
      </c>
      <c r="Q110" s="9" t="n">
        <v>91</v>
      </c>
      <c r="R110" s="9" t="n">
        <v>47</v>
      </c>
      <c r="S110" s="9" t="n">
        <v>430</v>
      </c>
      <c r="T110" s="11" t="n">
        <f aca="false">IF(AND(ISNUMBER(S110),ISNUMBER(D110),D110&gt;0),S110/D110,"")</f>
        <v>0.598885793871866</v>
      </c>
      <c r="U110" s="10" t="n">
        <v>0.06</v>
      </c>
      <c r="V110" s="10" t="n">
        <v>0.1</v>
      </c>
      <c r="W110" s="10" t="n">
        <v>0.07</v>
      </c>
      <c r="X110" s="10" t="n">
        <v>0.11</v>
      </c>
      <c r="Y110" s="8" t="n">
        <v>0</v>
      </c>
      <c r="Z110" s="8" t="s">
        <v>74</v>
      </c>
      <c r="AA110" s="8" t="n">
        <v>11</v>
      </c>
      <c r="AB110" s="8" t="n">
        <v>0</v>
      </c>
      <c r="AC110" s="11" t="n">
        <f aca="false">IF(AND(ISNUMBER(AA110),ISNUMBER(D110),D110&gt;0),AA110/D110*100,"")</f>
        <v>1.53203342618384</v>
      </c>
      <c r="AD110" s="12" t="n">
        <v>1700</v>
      </c>
      <c r="AE110" s="8" t="s">
        <v>74</v>
      </c>
      <c r="AF110" s="8" t="s">
        <v>77</v>
      </c>
      <c r="AG110" s="12" t="n">
        <v>290.25</v>
      </c>
      <c r="AH110" s="12" t="n">
        <v>330.82</v>
      </c>
      <c r="AI110" s="12" t="n">
        <v>502.03</v>
      </c>
      <c r="AJ110" s="12" t="n">
        <v>590</v>
      </c>
      <c r="AK110" s="8" t="n">
        <v>26</v>
      </c>
      <c r="AL110" s="10" t="n">
        <v>0.4</v>
      </c>
      <c r="AM110" s="8" t="s">
        <v>74</v>
      </c>
      <c r="AN110" s="12" t="n">
        <v>22</v>
      </c>
      <c r="AO110" s="8" t="s">
        <v>74</v>
      </c>
      <c r="AP110" s="8" t="s">
        <v>74</v>
      </c>
      <c r="AQ110" s="10" t="n">
        <v>0.98</v>
      </c>
      <c r="AR110" s="8" t="n">
        <v>3</v>
      </c>
      <c r="AS110" s="8" t="n">
        <v>2</v>
      </c>
      <c r="AT110" s="8" t="n">
        <v>1</v>
      </c>
      <c r="AU110" s="8" t="n">
        <v>1</v>
      </c>
      <c r="AV110" s="8" t="n">
        <v>1</v>
      </c>
      <c r="AW110" s="8" t="n">
        <v>0</v>
      </c>
      <c r="AX110" s="8" t="n">
        <v>1</v>
      </c>
      <c r="AY110" s="8" t="n">
        <v>2</v>
      </c>
      <c r="AZ110" s="8" t="n">
        <v>2</v>
      </c>
      <c r="BA110" s="8" t="n">
        <v>2</v>
      </c>
      <c r="BB110" s="8" t="n">
        <v>1</v>
      </c>
      <c r="BC110" s="8" t="n">
        <v>3</v>
      </c>
      <c r="BD110" s="8" t="n">
        <v>1</v>
      </c>
      <c r="BE110" s="8" t="n">
        <v>1</v>
      </c>
      <c r="BF110" s="8" t="n">
        <v>1</v>
      </c>
      <c r="BG110" s="8" t="n">
        <v>1</v>
      </c>
      <c r="BH110" s="8" t="n">
        <v>3</v>
      </c>
      <c r="BI110" s="8" t="n">
        <v>0</v>
      </c>
      <c r="BJ110" s="9" t="n">
        <v>15</v>
      </c>
      <c r="BK110" s="9" t="n">
        <v>30</v>
      </c>
      <c r="BL110" s="9"/>
      <c r="BM110" s="9" t="n">
        <v>5</v>
      </c>
      <c r="BN110" s="10" t="n">
        <v>0.1</v>
      </c>
      <c r="BO110" s="10" t="n">
        <v>0.4</v>
      </c>
      <c r="BP110" s="10" t="n">
        <f aca="false">IF(AND(ISNUMBER(BN110),ISNUMBER(BO110)),BN110+BO110,"")</f>
        <v>0.5</v>
      </c>
      <c r="BQ110" s="10" t="n">
        <v>0.3</v>
      </c>
      <c r="BR110" s="10" t="n">
        <v>0.1</v>
      </c>
      <c r="BS110" s="10" t="n">
        <v>0.1</v>
      </c>
    </row>
    <row r="111" customFormat="false" ht="15" hidden="false" customHeight="false" outlineLevel="0" collapsed="false">
      <c r="A111" s="8" t="s">
        <v>108</v>
      </c>
      <c r="B111" s="8" t="s">
        <v>120</v>
      </c>
      <c r="C111" s="8" t="n">
        <v>3</v>
      </c>
      <c r="D111" s="9" t="n">
        <v>132</v>
      </c>
      <c r="E111" s="9" t="n">
        <v>48</v>
      </c>
      <c r="F111" s="8" t="s">
        <v>73</v>
      </c>
      <c r="G111" s="8" t="s">
        <v>77</v>
      </c>
      <c r="H111" s="10" t="n">
        <v>0.6</v>
      </c>
      <c r="I111" s="10" t="n">
        <v>0.033</v>
      </c>
      <c r="J111" s="10" t="n">
        <v>0.032</v>
      </c>
      <c r="K111" s="8" t="n">
        <v>0</v>
      </c>
      <c r="L111" s="8" t="n">
        <v>4</v>
      </c>
      <c r="M111" s="10" t="n">
        <v>0.021</v>
      </c>
      <c r="N111" s="8" t="n">
        <v>0</v>
      </c>
      <c r="O111" s="9" t="n">
        <v>3</v>
      </c>
      <c r="P111" s="10" t="n">
        <f aca="false">IF(AND(ISNUMBER(O111),ISNUMBER(D111),D111&gt;0),O111/D111,"")</f>
        <v>0.0227272727272727</v>
      </c>
      <c r="Q111" s="9" t="n">
        <v>3</v>
      </c>
      <c r="R111" s="9" t="n">
        <v>3</v>
      </c>
      <c r="S111" s="9" t="n">
        <v>124</v>
      </c>
      <c r="T111" s="11" t="n">
        <f aca="false">IF(AND(ISNUMBER(S111),ISNUMBER(D111),D111&gt;0),S111/D111,"")</f>
        <v>0.939393939393939</v>
      </c>
      <c r="U111" s="10" t="n">
        <v>0.08</v>
      </c>
      <c r="V111" s="10" t="n">
        <v>0.1</v>
      </c>
      <c r="W111" s="10" t="n">
        <v>0.1</v>
      </c>
      <c r="X111" s="10" t="n">
        <v>0.05</v>
      </c>
      <c r="Y111" s="8" t="n">
        <v>0</v>
      </c>
      <c r="Z111" s="8" t="s">
        <v>74</v>
      </c>
      <c r="AA111" s="8" t="n">
        <v>2</v>
      </c>
      <c r="AB111" s="8" t="n">
        <v>0</v>
      </c>
      <c r="AC111" s="11" t="n">
        <f aca="false">IF(AND(ISNUMBER(AA111),ISNUMBER(D111),D111&gt;0),AA111/D111*100,"")</f>
        <v>1.51515151515152</v>
      </c>
      <c r="AD111" s="12" t="n">
        <v>1200</v>
      </c>
      <c r="AE111" s="8" t="s">
        <v>77</v>
      </c>
      <c r="AF111" s="8" t="s">
        <v>74</v>
      </c>
      <c r="AG111" s="12" t="n">
        <v>304</v>
      </c>
      <c r="AH111" s="12" t="n">
        <v>320.76</v>
      </c>
      <c r="AI111" s="12" t="n">
        <v>388.12</v>
      </c>
      <c r="AJ111" s="12" t="n">
        <v>575</v>
      </c>
      <c r="AK111" s="8" t="n">
        <v>20</v>
      </c>
      <c r="AL111" s="10" t="n">
        <v>0.25</v>
      </c>
      <c r="AM111" s="8" t="s">
        <v>77</v>
      </c>
      <c r="AN111" s="12"/>
      <c r="AO111" s="8" t="s">
        <v>77</v>
      </c>
      <c r="AP111" s="8" t="s">
        <v>77</v>
      </c>
      <c r="AQ111" s="10" t="n">
        <v>0.8</v>
      </c>
      <c r="AR111" s="8" t="n">
        <v>3</v>
      </c>
      <c r="AS111" s="8" t="n">
        <v>2</v>
      </c>
      <c r="AT111" s="8" t="n">
        <v>3</v>
      </c>
      <c r="AU111" s="8" t="n">
        <v>1</v>
      </c>
      <c r="AV111" s="8" t="n">
        <v>1</v>
      </c>
      <c r="AW111" s="8" t="n">
        <v>0</v>
      </c>
      <c r="AX111" s="8" t="n">
        <v>1</v>
      </c>
      <c r="AY111" s="8" t="n">
        <v>1</v>
      </c>
      <c r="AZ111" s="8" t="n">
        <v>2</v>
      </c>
      <c r="BA111" s="8" t="n">
        <v>3</v>
      </c>
      <c r="BB111" s="8" t="n">
        <v>2</v>
      </c>
      <c r="BC111" s="8" t="n">
        <v>3</v>
      </c>
      <c r="BD111" s="8"/>
      <c r="BE111" s="8" t="n">
        <v>2</v>
      </c>
      <c r="BF111" s="8" t="n">
        <v>0</v>
      </c>
      <c r="BG111" s="8" t="n">
        <v>1</v>
      </c>
      <c r="BH111" s="8" t="n">
        <v>3</v>
      </c>
      <c r="BI111" s="8" t="n">
        <v>3</v>
      </c>
      <c r="BJ111" s="9" t="n">
        <v>1</v>
      </c>
      <c r="BK111" s="9" t="n">
        <v>0</v>
      </c>
      <c r="BL111" s="9" t="n">
        <v>1</v>
      </c>
      <c r="BM111" s="9" t="n">
        <v>1</v>
      </c>
      <c r="BN111" s="10" t="n">
        <v>0.9</v>
      </c>
      <c r="BO111" s="10" t="n">
        <v>0</v>
      </c>
      <c r="BP111" s="10" t="n">
        <f aca="false">IF(AND(ISNUMBER(BN111),ISNUMBER(BO111)),BN111+BO111,"")</f>
        <v>0.9</v>
      </c>
      <c r="BQ111" s="10" t="n">
        <v>0</v>
      </c>
      <c r="BR111" s="10" t="n">
        <v>0.1</v>
      </c>
      <c r="BS111" s="10" t="n">
        <v>0</v>
      </c>
    </row>
    <row r="112" customFormat="false" ht="15" hidden="false" customHeight="false" outlineLevel="0" collapsed="false">
      <c r="A112" s="8" t="s">
        <v>109</v>
      </c>
      <c r="B112" s="8" t="s">
        <v>120</v>
      </c>
      <c r="C112" s="8" t="n">
        <v>3</v>
      </c>
      <c r="D112" s="9" t="n">
        <v>253</v>
      </c>
      <c r="E112" s="9" t="n">
        <v>491</v>
      </c>
      <c r="F112" s="8" t="s">
        <v>92</v>
      </c>
      <c r="G112" s="8" t="s">
        <v>74</v>
      </c>
      <c r="H112" s="10" t="n">
        <v>0.2</v>
      </c>
      <c r="I112" s="10" t="n">
        <v>0.021</v>
      </c>
      <c r="J112" s="10" t="n">
        <v>0.004</v>
      </c>
      <c r="K112" s="8" t="n">
        <v>0</v>
      </c>
      <c r="L112" s="8" t="n">
        <v>7</v>
      </c>
      <c r="M112" s="10" t="n">
        <v>0.007</v>
      </c>
      <c r="N112" s="8" t="n">
        <v>0</v>
      </c>
      <c r="O112" s="9" t="n">
        <v>10</v>
      </c>
      <c r="P112" s="10" t="n">
        <f aca="false">IF(AND(ISNUMBER(O112),ISNUMBER(D112),D112&gt;0),O112/D112,"")</f>
        <v>0.0395256916996047</v>
      </c>
      <c r="Q112" s="9" t="n">
        <v>7</v>
      </c>
      <c r="R112" s="9" t="n">
        <v>7</v>
      </c>
      <c r="S112" s="9" t="n">
        <v>59</v>
      </c>
      <c r="T112" s="11" t="n">
        <f aca="false">IF(AND(ISNUMBER(S112),ISNUMBER(D112),D112&gt;0),S112/D112,"")</f>
        <v>0.233201581027668</v>
      </c>
      <c r="U112" s="10" t="n">
        <v>0.08</v>
      </c>
      <c r="V112" s="10" t="n">
        <v>0.09</v>
      </c>
      <c r="W112" s="10" t="n">
        <v>0.07</v>
      </c>
      <c r="X112" s="10"/>
      <c r="Y112" s="8" t="n">
        <v>0</v>
      </c>
      <c r="Z112" s="8" t="s">
        <v>74</v>
      </c>
      <c r="AA112" s="8" t="n">
        <v>10</v>
      </c>
      <c r="AB112" s="8" t="n">
        <v>0</v>
      </c>
      <c r="AC112" s="11" t="n">
        <f aca="false">IF(AND(ISNUMBER(AA112),ISNUMBER(D112),D112&gt;0),AA112/D112*100,"")</f>
        <v>3.95256916996047</v>
      </c>
      <c r="AD112" s="12" t="n">
        <v>1800</v>
      </c>
      <c r="AE112" s="8" t="s">
        <v>74</v>
      </c>
      <c r="AF112" s="8" t="s">
        <v>77</v>
      </c>
      <c r="AG112" s="12" t="n">
        <v>325</v>
      </c>
      <c r="AH112" s="12" t="n">
        <v>372</v>
      </c>
      <c r="AI112" s="12" t="n">
        <v>430</v>
      </c>
      <c r="AJ112" s="12" t="n">
        <v>499</v>
      </c>
      <c r="AK112" s="8" t="n">
        <v>20</v>
      </c>
      <c r="AL112" s="10" t="n">
        <v>0.4</v>
      </c>
      <c r="AM112" s="8" t="s">
        <v>74</v>
      </c>
      <c r="AN112" s="12" t="n">
        <v>34</v>
      </c>
      <c r="AO112" s="8" t="s">
        <v>77</v>
      </c>
      <c r="AP112" s="8" t="s">
        <v>74</v>
      </c>
      <c r="AQ112" s="10" t="n">
        <v>0.9</v>
      </c>
      <c r="AR112" s="8" t="n">
        <v>3</v>
      </c>
      <c r="AS112" s="8" t="n">
        <v>0</v>
      </c>
      <c r="AT112" s="8" t="n">
        <v>0</v>
      </c>
      <c r="AU112" s="8" t="n">
        <v>0</v>
      </c>
      <c r="AV112" s="8" t="n">
        <v>0</v>
      </c>
      <c r="AW112" s="8" t="n">
        <v>0</v>
      </c>
      <c r="AX112" s="8" t="n">
        <v>0</v>
      </c>
      <c r="AY112" s="8" t="n">
        <v>0</v>
      </c>
      <c r="AZ112" s="8" t="n">
        <v>2</v>
      </c>
      <c r="BA112" s="8" t="n">
        <v>2</v>
      </c>
      <c r="BB112" s="8" t="n">
        <v>2</v>
      </c>
      <c r="BC112" s="8" t="n">
        <v>3</v>
      </c>
      <c r="BD112" s="8" t="n">
        <v>1</v>
      </c>
      <c r="BE112" s="8" t="n">
        <v>0</v>
      </c>
      <c r="BF112" s="8" t="n">
        <v>0</v>
      </c>
      <c r="BG112" s="8" t="n">
        <v>0</v>
      </c>
      <c r="BH112" s="8" t="n">
        <v>0</v>
      </c>
      <c r="BI112" s="8" t="n">
        <v>3</v>
      </c>
      <c r="BJ112" s="9" t="n">
        <v>2</v>
      </c>
      <c r="BK112" s="9" t="n">
        <v>1</v>
      </c>
      <c r="BL112" s="9" t="n">
        <v>1</v>
      </c>
      <c r="BM112" s="9" t="n">
        <v>6</v>
      </c>
      <c r="BN112" s="10" t="n">
        <v>0.1</v>
      </c>
      <c r="BO112" s="10" t="n">
        <v>0</v>
      </c>
      <c r="BP112" s="10" t="n">
        <f aca="false">IF(AND(ISNUMBER(BN112),ISNUMBER(BO112)),BN112+BO112,"")</f>
        <v>0.1</v>
      </c>
      <c r="BQ112" s="10" t="n">
        <v>0.1</v>
      </c>
      <c r="BR112" s="10" t="n">
        <v>0.4</v>
      </c>
      <c r="BS112" s="10" t="n">
        <v>0.4</v>
      </c>
    </row>
    <row r="113" customFormat="false" ht="15" hidden="false" customHeight="false" outlineLevel="0" collapsed="false">
      <c r="A113" s="8" t="s">
        <v>110</v>
      </c>
      <c r="B113" s="8" t="s">
        <v>120</v>
      </c>
      <c r="C113" s="8" t="n">
        <v>3</v>
      </c>
      <c r="D113" s="9" t="n">
        <v>44</v>
      </c>
      <c r="E113" s="9" t="n">
        <v>52</v>
      </c>
      <c r="F113" s="8" t="s">
        <v>81</v>
      </c>
      <c r="G113" s="8" t="s">
        <v>74</v>
      </c>
      <c r="H113" s="10" t="n">
        <v>0</v>
      </c>
      <c r="I113" s="10" t="n">
        <v>0.011</v>
      </c>
      <c r="J113" s="10"/>
      <c r="K113" s="8" t="n">
        <v>0</v>
      </c>
      <c r="L113" s="8"/>
      <c r="M113" s="10"/>
      <c r="N113" s="8" t="n">
        <v>0</v>
      </c>
      <c r="O113" s="9" t="n">
        <v>0</v>
      </c>
      <c r="P113" s="10" t="n">
        <f aca="false">IF(AND(ISNUMBER(O113),ISNUMBER(D113),D113&gt;0),O113/D113,"")</f>
        <v>0</v>
      </c>
      <c r="Q113" s="9"/>
      <c r="R113" s="9" t="n">
        <v>8</v>
      </c>
      <c r="S113" s="9" t="n">
        <v>14</v>
      </c>
      <c r="T113" s="11" t="n">
        <f aca="false">IF(AND(ISNUMBER(S113),ISNUMBER(D113),D113&gt;0),S113/D113,"")</f>
        <v>0.318181818181818</v>
      </c>
      <c r="U113" s="10" t="n">
        <v>0.06</v>
      </c>
      <c r="V113" s="10" t="n">
        <v>0.08</v>
      </c>
      <c r="W113" s="10" t="n">
        <v>0.13</v>
      </c>
      <c r="X113" s="10"/>
      <c r="Y113" s="8" t="n">
        <v>0</v>
      </c>
      <c r="Z113" s="8" t="s">
        <v>74</v>
      </c>
      <c r="AA113" s="8" t="n">
        <v>4</v>
      </c>
      <c r="AB113" s="8" t="n">
        <v>0</v>
      </c>
      <c r="AC113" s="11" t="n">
        <f aca="false">IF(AND(ISNUMBER(AA113),ISNUMBER(D113),D113&gt;0),AA113/D113*100,"")</f>
        <v>9.09090909090909</v>
      </c>
      <c r="AD113" s="12" t="n">
        <v>2417.58</v>
      </c>
      <c r="AE113" s="8" t="s">
        <v>74</v>
      </c>
      <c r="AF113" s="8" t="s">
        <v>77</v>
      </c>
      <c r="AG113" s="12" t="n">
        <v>321.73</v>
      </c>
      <c r="AH113" s="12" t="n">
        <v>355.29</v>
      </c>
      <c r="AI113" s="12" t="n">
        <v>473.6</v>
      </c>
      <c r="AJ113" s="12" t="n">
        <v>568.47</v>
      </c>
      <c r="AK113" s="8" t="n">
        <v>21</v>
      </c>
      <c r="AL113" s="10" t="n">
        <v>0.5</v>
      </c>
      <c r="AM113" s="8" t="s">
        <v>77</v>
      </c>
      <c r="AN113" s="12"/>
      <c r="AO113" s="8" t="s">
        <v>74</v>
      </c>
      <c r="AP113" s="8" t="s">
        <v>74</v>
      </c>
      <c r="AQ113" s="10" t="n">
        <v>0.7</v>
      </c>
      <c r="AR113" s="8" t="n">
        <v>1</v>
      </c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 t="n">
        <v>1</v>
      </c>
      <c r="BJ113" s="9" t="n">
        <v>1</v>
      </c>
      <c r="BK113" s="9" t="n">
        <v>0</v>
      </c>
      <c r="BL113" s="9" t="n">
        <v>0</v>
      </c>
      <c r="BM113" s="9" t="n">
        <v>0</v>
      </c>
      <c r="BN113" s="10" t="n">
        <v>0</v>
      </c>
      <c r="BO113" s="10" t="n">
        <v>0.2</v>
      </c>
      <c r="BP113" s="10" t="n">
        <f aca="false">IF(AND(ISNUMBER(BN113),ISNUMBER(BO113)),BN113+BO113,"")</f>
        <v>0.2</v>
      </c>
      <c r="BQ113" s="10" t="n">
        <v>0</v>
      </c>
      <c r="BR113" s="10" t="n">
        <v>0</v>
      </c>
      <c r="BS113" s="10" t="n">
        <v>0.8</v>
      </c>
    </row>
    <row r="114" customFormat="false" ht="15" hidden="false" customHeight="false" outlineLevel="0" collapsed="false">
      <c r="A114" s="8" t="s">
        <v>111</v>
      </c>
      <c r="B114" s="8" t="s">
        <v>120</v>
      </c>
      <c r="C114" s="8" t="n">
        <v>3</v>
      </c>
      <c r="D114" s="9" t="n">
        <v>97</v>
      </c>
      <c r="E114" s="9" t="n">
        <v>62</v>
      </c>
      <c r="F114" s="8" t="s">
        <v>73</v>
      </c>
      <c r="G114" s="8" t="s">
        <v>74</v>
      </c>
      <c r="H114" s="10" t="n">
        <v>0</v>
      </c>
      <c r="I114" s="10" t="n">
        <v>0.01</v>
      </c>
      <c r="J114" s="10" t="n">
        <v>0.012</v>
      </c>
      <c r="K114" s="8" t="n">
        <v>0</v>
      </c>
      <c r="L114" s="8" t="n">
        <v>15</v>
      </c>
      <c r="M114" s="10" t="n">
        <v>0.005</v>
      </c>
      <c r="N114" s="8" t="n">
        <v>0</v>
      </c>
      <c r="O114" s="9" t="n">
        <v>2</v>
      </c>
      <c r="P114" s="10" t="n">
        <f aca="false">IF(AND(ISNUMBER(O114),ISNUMBER(D114),D114&gt;0),O114/D114,"")</f>
        <v>0.0206185567010309</v>
      </c>
      <c r="Q114" s="9" t="n">
        <v>1</v>
      </c>
      <c r="R114" s="9" t="n">
        <v>1</v>
      </c>
      <c r="S114" s="9" t="n">
        <v>4</v>
      </c>
      <c r="T114" s="11" t="n">
        <f aca="false">IF(AND(ISNUMBER(S114),ISNUMBER(D114),D114&gt;0),S114/D114,"")</f>
        <v>0.0412371134020619</v>
      </c>
      <c r="U114" s="10" t="n">
        <v>0.09</v>
      </c>
      <c r="V114" s="10" t="n">
        <v>0.085</v>
      </c>
      <c r="W114" s="10" t="n">
        <v>0.065</v>
      </c>
      <c r="X114" s="10" t="n">
        <v>0.025</v>
      </c>
      <c r="Y114" s="8" t="n">
        <v>0</v>
      </c>
      <c r="Z114" s="8" t="s">
        <v>74</v>
      </c>
      <c r="AA114" s="8" t="n">
        <v>10</v>
      </c>
      <c r="AB114" s="8" t="n">
        <v>0</v>
      </c>
      <c r="AC114" s="11" t="n">
        <f aca="false">IF(AND(ISNUMBER(AA114),ISNUMBER(D114),D114&gt;0),AA114/D114*100,"")</f>
        <v>10.3092783505155</v>
      </c>
      <c r="AD114" s="12" t="n">
        <v>3500</v>
      </c>
      <c r="AE114" s="8"/>
      <c r="AF114" s="8" t="s">
        <v>74</v>
      </c>
      <c r="AG114" s="12" t="n">
        <v>346.73</v>
      </c>
      <c r="AH114" s="12" t="n">
        <v>378.64</v>
      </c>
      <c r="AI114" s="12" t="n">
        <v>411.51</v>
      </c>
      <c r="AJ114" s="12" t="n">
        <v>466.65</v>
      </c>
      <c r="AK114" s="8" t="n">
        <v>17</v>
      </c>
      <c r="AL114" s="10" t="n">
        <v>0.3</v>
      </c>
      <c r="AM114" s="8" t="s">
        <v>74</v>
      </c>
      <c r="AN114" s="12" t="n">
        <v>48</v>
      </c>
      <c r="AO114" s="8" t="s">
        <v>74</v>
      </c>
      <c r="AP114" s="8" t="s">
        <v>74</v>
      </c>
      <c r="AQ114" s="10" t="n">
        <v>1</v>
      </c>
      <c r="AR114" s="8" t="n">
        <v>2</v>
      </c>
      <c r="AS114" s="8" t="n">
        <v>1</v>
      </c>
      <c r="AT114" s="8" t="n">
        <v>0</v>
      </c>
      <c r="AU114" s="8" t="n">
        <v>0</v>
      </c>
      <c r="AV114" s="8" t="n">
        <v>0</v>
      </c>
      <c r="AW114" s="8" t="n">
        <v>0</v>
      </c>
      <c r="AX114" s="8" t="n">
        <v>0</v>
      </c>
      <c r="AY114" s="8" t="n">
        <v>3</v>
      </c>
      <c r="AZ114" s="8" t="n">
        <v>3</v>
      </c>
      <c r="BA114" s="8" t="n">
        <v>3</v>
      </c>
      <c r="BB114" s="8" t="n">
        <v>1</v>
      </c>
      <c r="BC114" s="8" t="n">
        <v>0</v>
      </c>
      <c r="BD114" s="8" t="n">
        <v>0</v>
      </c>
      <c r="BE114" s="8" t="n">
        <v>3</v>
      </c>
      <c r="BF114" s="8" t="n">
        <v>1</v>
      </c>
      <c r="BG114" s="8" t="n">
        <v>0</v>
      </c>
      <c r="BH114" s="8" t="n">
        <v>0</v>
      </c>
      <c r="BI114" s="8"/>
      <c r="BJ114" s="9" t="n">
        <v>1</v>
      </c>
      <c r="BK114" s="9" t="n">
        <v>0</v>
      </c>
      <c r="BL114" s="9" t="n">
        <v>0</v>
      </c>
      <c r="BM114" s="9" t="n">
        <v>2</v>
      </c>
      <c r="BN114" s="10" t="n">
        <v>0.8</v>
      </c>
      <c r="BO114" s="10" t="n">
        <v>0</v>
      </c>
      <c r="BP114" s="10" t="n">
        <f aca="false">IF(AND(ISNUMBER(BN114),ISNUMBER(BO114)),BN114+BO114,"")</f>
        <v>0.8</v>
      </c>
      <c r="BQ114" s="10" t="n">
        <v>0</v>
      </c>
      <c r="BR114" s="10" t="n">
        <v>0.2</v>
      </c>
      <c r="BS114" s="10" t="n">
        <v>0</v>
      </c>
    </row>
    <row r="115" customFormat="false" ht="15" hidden="false" customHeight="false" outlineLevel="0" collapsed="false">
      <c r="A115" s="8" t="s">
        <v>112</v>
      </c>
      <c r="B115" s="8" t="s">
        <v>120</v>
      </c>
      <c r="C115" s="8" t="n">
        <v>3</v>
      </c>
      <c r="D115" s="9" t="n">
        <v>442</v>
      </c>
      <c r="E115" s="9" t="n">
        <v>318</v>
      </c>
      <c r="F115" s="8" t="s">
        <v>92</v>
      </c>
      <c r="G115" s="8" t="s">
        <v>74</v>
      </c>
      <c r="H115" s="10" t="n">
        <v>0</v>
      </c>
      <c r="I115" s="10" t="n">
        <v>0.004</v>
      </c>
      <c r="J115" s="10" t="n">
        <v>0.005</v>
      </c>
      <c r="K115" s="8" t="n">
        <v>0</v>
      </c>
      <c r="L115" s="8" t="n">
        <v>40</v>
      </c>
      <c r="M115" s="10" t="n">
        <v>0.004</v>
      </c>
      <c r="N115" s="8" t="n">
        <v>0</v>
      </c>
      <c r="O115" s="9" t="n">
        <v>7</v>
      </c>
      <c r="P115" s="10" t="n">
        <f aca="false">IF(AND(ISNUMBER(O115),ISNUMBER(D115),D115&gt;0),O115/D115,"")</f>
        <v>0.0158371040723982</v>
      </c>
      <c r="Q115" s="9" t="n">
        <v>1</v>
      </c>
      <c r="R115" s="9" t="n">
        <v>1</v>
      </c>
      <c r="S115" s="9" t="n">
        <v>78</v>
      </c>
      <c r="T115" s="11" t="n">
        <f aca="false">IF(AND(ISNUMBER(S115),ISNUMBER(D115),D115&gt;0),S115/D115,"")</f>
        <v>0.176470588235294</v>
      </c>
      <c r="U115" s="10" t="n">
        <v>0.056</v>
      </c>
      <c r="V115" s="10" t="n">
        <v>0.12</v>
      </c>
      <c r="W115" s="10" t="n">
        <v>0.08</v>
      </c>
      <c r="X115" s="10"/>
      <c r="Y115" s="8" t="n">
        <v>0</v>
      </c>
      <c r="Z115" s="8" t="s">
        <v>74</v>
      </c>
      <c r="AA115" s="8" t="n">
        <v>41</v>
      </c>
      <c r="AB115" s="8" t="n">
        <v>1</v>
      </c>
      <c r="AC115" s="11" t="n">
        <f aca="false">IF(AND(ISNUMBER(AA115),ISNUMBER(D115),D115&gt;0),AA115/D115*100,"")</f>
        <v>9.27601809954751</v>
      </c>
      <c r="AD115" s="12" t="n">
        <v>1500</v>
      </c>
      <c r="AE115" s="8" t="s">
        <v>74</v>
      </c>
      <c r="AF115" s="8" t="s">
        <v>77</v>
      </c>
      <c r="AG115" s="12" t="n">
        <v>309</v>
      </c>
      <c r="AH115" s="12" t="n">
        <v>361.36</v>
      </c>
      <c r="AI115" s="12" t="n">
        <v>524.07</v>
      </c>
      <c r="AJ115" s="12" t="n">
        <v>784</v>
      </c>
      <c r="AK115" s="8" t="n">
        <v>26</v>
      </c>
      <c r="AL115" s="10" t="n">
        <v>0.5</v>
      </c>
      <c r="AM115" s="8" t="s">
        <v>74</v>
      </c>
      <c r="AN115" s="12" t="n">
        <v>42</v>
      </c>
      <c r="AO115" s="8" t="s">
        <v>74</v>
      </c>
      <c r="AP115" s="8" t="s">
        <v>74</v>
      </c>
      <c r="AQ115" s="10" t="n">
        <v>0.8</v>
      </c>
      <c r="AR115" s="8" t="n">
        <v>1</v>
      </c>
      <c r="AS115" s="8"/>
      <c r="AT115" s="8"/>
      <c r="AU115" s="8"/>
      <c r="AV115" s="8" t="n">
        <v>1</v>
      </c>
      <c r="AW115" s="8"/>
      <c r="AX115" s="8" t="n">
        <v>1</v>
      </c>
      <c r="AY115" s="8" t="n">
        <v>1</v>
      </c>
      <c r="AZ115" s="8" t="n">
        <v>1</v>
      </c>
      <c r="BA115" s="8" t="n">
        <v>1</v>
      </c>
      <c r="BB115" s="8" t="n">
        <v>3</v>
      </c>
      <c r="BC115" s="8" t="n">
        <v>1</v>
      </c>
      <c r="BD115" s="8" t="n">
        <v>2</v>
      </c>
      <c r="BE115" s="8" t="n">
        <v>2</v>
      </c>
      <c r="BF115" s="8" t="n">
        <v>2</v>
      </c>
      <c r="BG115" s="8" t="n">
        <v>1</v>
      </c>
      <c r="BH115" s="8" t="n">
        <v>3</v>
      </c>
      <c r="BI115" s="8" t="n">
        <v>2</v>
      </c>
      <c r="BJ115" s="9" t="n">
        <v>3</v>
      </c>
      <c r="BK115" s="9" t="n">
        <v>0</v>
      </c>
      <c r="BL115" s="9" t="n">
        <v>4</v>
      </c>
      <c r="BM115" s="9" t="n">
        <v>5</v>
      </c>
      <c r="BN115" s="10" t="n">
        <v>0</v>
      </c>
      <c r="BO115" s="10" t="n">
        <v>0.1</v>
      </c>
      <c r="BP115" s="10" t="n">
        <f aca="false">IF(AND(ISNUMBER(BN115),ISNUMBER(BO115)),BN115+BO115,"")</f>
        <v>0.1</v>
      </c>
      <c r="BQ115" s="10" t="n">
        <v>0.2</v>
      </c>
      <c r="BR115" s="10" t="n">
        <v>0.3</v>
      </c>
      <c r="BS115" s="10" t="n">
        <v>0.7</v>
      </c>
    </row>
    <row r="116" customFormat="false" ht="15" hidden="false" customHeight="false" outlineLevel="0" collapsed="false">
      <c r="A116" s="8" t="s">
        <v>113</v>
      </c>
      <c r="B116" s="8" t="s">
        <v>120</v>
      </c>
      <c r="C116" s="8" t="n">
        <v>3</v>
      </c>
      <c r="D116" s="9" t="n">
        <v>82</v>
      </c>
      <c r="E116" s="9" t="n">
        <v>52</v>
      </c>
      <c r="F116" s="8" t="s">
        <v>76</v>
      </c>
      <c r="G116" s="8" t="s">
        <v>77</v>
      </c>
      <c r="H116" s="10" t="n">
        <v>0.3</v>
      </c>
      <c r="I116" s="10" t="n">
        <v>0.055</v>
      </c>
      <c r="J116" s="10" t="n">
        <v>0.003</v>
      </c>
      <c r="K116" s="8" t="n">
        <v>0</v>
      </c>
      <c r="L116" s="8" t="n">
        <v>3</v>
      </c>
      <c r="M116" s="10" t="n">
        <v>0.01</v>
      </c>
      <c r="N116" s="8" t="n">
        <v>0</v>
      </c>
      <c r="O116" s="9" t="n">
        <v>7</v>
      </c>
      <c r="P116" s="10" t="n">
        <f aca="false">IF(AND(ISNUMBER(O116),ISNUMBER(D116),D116&gt;0),O116/D116,"")</f>
        <v>0.0853658536585366</v>
      </c>
      <c r="Q116" s="9" t="n">
        <v>9</v>
      </c>
      <c r="R116" s="9" t="n">
        <v>9</v>
      </c>
      <c r="S116" s="9" t="n">
        <v>45</v>
      </c>
      <c r="T116" s="11" t="n">
        <f aca="false">IF(AND(ISNUMBER(S116),ISNUMBER(D116),D116&gt;0),S116/D116,"")</f>
        <v>0.548780487804878</v>
      </c>
      <c r="U116" s="10" t="n">
        <v>0.1</v>
      </c>
      <c r="V116" s="10"/>
      <c r="W116" s="10"/>
      <c r="X116" s="10" t="n">
        <v>0.1</v>
      </c>
      <c r="Y116" s="8" t="n">
        <v>0</v>
      </c>
      <c r="Z116" s="8" t="s">
        <v>77</v>
      </c>
      <c r="AA116" s="8" t="n">
        <v>0</v>
      </c>
      <c r="AB116" s="8" t="n">
        <v>0</v>
      </c>
      <c r="AC116" s="11" t="n">
        <f aca="false">IF(AND(ISNUMBER(AA116),ISNUMBER(D116),D116&gt;0),AA116/D116*100,"")</f>
        <v>0</v>
      </c>
      <c r="AD116" s="12"/>
      <c r="AE116" s="8" t="s">
        <v>74</v>
      </c>
      <c r="AF116" s="8" t="s">
        <v>74</v>
      </c>
      <c r="AG116" s="12" t="n">
        <v>278.78</v>
      </c>
      <c r="AH116" s="12" t="n">
        <v>278.78</v>
      </c>
      <c r="AI116" s="12" t="n">
        <v>351.26</v>
      </c>
      <c r="AJ116" s="12" t="n">
        <v>577.38</v>
      </c>
      <c r="AK116" s="8" t="n">
        <v>15</v>
      </c>
      <c r="AL116" s="10" t="n">
        <v>0.25</v>
      </c>
      <c r="AM116" s="8" t="s">
        <v>74</v>
      </c>
      <c r="AN116" s="12" t="n">
        <v>45</v>
      </c>
      <c r="AO116" s="8" t="s">
        <v>77</v>
      </c>
      <c r="AP116" s="8" t="s">
        <v>74</v>
      </c>
      <c r="AQ116" s="10"/>
      <c r="AR116" s="8" t="n">
        <v>3</v>
      </c>
      <c r="AS116" s="8" t="n">
        <v>3</v>
      </c>
      <c r="AT116" s="8" t="n">
        <v>3</v>
      </c>
      <c r="AU116" s="8"/>
      <c r="AV116" s="8"/>
      <c r="AW116" s="8" t="n">
        <v>2</v>
      </c>
      <c r="AX116" s="8" t="n">
        <v>2</v>
      </c>
      <c r="AY116" s="8" t="n">
        <v>3</v>
      </c>
      <c r="AZ116" s="8" t="n">
        <v>2</v>
      </c>
      <c r="BA116" s="8" t="n">
        <v>2</v>
      </c>
      <c r="BB116" s="8" t="n">
        <v>2</v>
      </c>
      <c r="BC116" s="8" t="n">
        <v>2</v>
      </c>
      <c r="BD116" s="8" t="n">
        <v>2</v>
      </c>
      <c r="BE116" s="8" t="n">
        <v>3</v>
      </c>
      <c r="BF116" s="8" t="n">
        <v>2</v>
      </c>
      <c r="BG116" s="8" t="n">
        <v>2</v>
      </c>
      <c r="BH116" s="8" t="n">
        <v>2</v>
      </c>
      <c r="BI116" s="8" t="n">
        <v>2</v>
      </c>
      <c r="BJ116" s="9" t="n">
        <v>7</v>
      </c>
      <c r="BK116" s="9" t="n">
        <v>0</v>
      </c>
      <c r="BL116" s="9" t="n">
        <v>0</v>
      </c>
      <c r="BM116" s="9" t="n">
        <v>0</v>
      </c>
      <c r="BN116" s="10" t="n">
        <v>0.1</v>
      </c>
      <c r="BO116" s="10" t="n">
        <v>0.4</v>
      </c>
      <c r="BP116" s="10" t="n">
        <f aca="false">IF(AND(ISNUMBER(BN116),ISNUMBER(BO116)),BN116+BO116,"")</f>
        <v>0.5</v>
      </c>
      <c r="BQ116" s="10" t="n">
        <v>0.2</v>
      </c>
      <c r="BR116" s="10" t="n">
        <v>0.4</v>
      </c>
      <c r="BS116" s="10" t="n">
        <v>0</v>
      </c>
    </row>
    <row r="117" customFormat="false" ht="15" hidden="false" customHeight="false" outlineLevel="0" collapsed="false">
      <c r="A117" s="8" t="s">
        <v>114</v>
      </c>
      <c r="B117" s="8" t="s">
        <v>120</v>
      </c>
      <c r="C117" s="8" t="n">
        <v>3</v>
      </c>
      <c r="D117" s="9" t="n">
        <v>1480</v>
      </c>
      <c r="E117" s="9" t="n">
        <v>410</v>
      </c>
      <c r="F117" s="8" t="s">
        <v>81</v>
      </c>
      <c r="G117" s="8" t="s">
        <v>74</v>
      </c>
      <c r="H117" s="10" t="n">
        <v>0</v>
      </c>
      <c r="I117" s="10" t="n">
        <v>0.042</v>
      </c>
      <c r="J117" s="10" t="n">
        <v>0.015</v>
      </c>
      <c r="K117" s="8" t="n">
        <v>0</v>
      </c>
      <c r="L117" s="8" t="n">
        <v>7</v>
      </c>
      <c r="M117" s="10" t="n">
        <v>0.015</v>
      </c>
      <c r="N117" s="8" t="n">
        <v>0</v>
      </c>
      <c r="O117" s="9" t="n">
        <v>111</v>
      </c>
      <c r="P117" s="10" t="n">
        <f aca="false">IF(AND(ISNUMBER(O117),ISNUMBER(D117),D117&gt;0),O117/D117,"")</f>
        <v>0.075</v>
      </c>
      <c r="Q117" s="9" t="n">
        <v>108</v>
      </c>
      <c r="R117" s="9" t="n">
        <v>78</v>
      </c>
      <c r="S117" s="9" t="n">
        <v>1080</v>
      </c>
      <c r="T117" s="11" t="n">
        <f aca="false">IF(AND(ISNUMBER(S117),ISNUMBER(D117),D117&gt;0),S117/D117,"")</f>
        <v>0.72972972972973</v>
      </c>
      <c r="U117" s="10" t="n">
        <v>0.07</v>
      </c>
      <c r="V117" s="10" t="n">
        <v>0.09</v>
      </c>
      <c r="W117" s="10" t="n">
        <v>0.09</v>
      </c>
      <c r="X117" s="10" t="n">
        <v>0.1</v>
      </c>
      <c r="Y117" s="8" t="n">
        <v>0</v>
      </c>
      <c r="Z117" s="8" t="s">
        <v>74</v>
      </c>
      <c r="AA117" s="8" t="n">
        <v>41</v>
      </c>
      <c r="AB117" s="8" t="n">
        <v>1</v>
      </c>
      <c r="AC117" s="11" t="n">
        <f aca="false">IF(AND(ISNUMBER(AA117),ISNUMBER(D117),D117&gt;0),AA117/D117*100,"")</f>
        <v>2.77027027027027</v>
      </c>
      <c r="AD117" s="12" t="n">
        <v>1000</v>
      </c>
      <c r="AE117" s="8" t="s">
        <v>74</v>
      </c>
      <c r="AF117" s="8" t="s">
        <v>77</v>
      </c>
      <c r="AG117" s="12" t="n">
        <v>323.61</v>
      </c>
      <c r="AH117" s="12" t="n">
        <v>374.38</v>
      </c>
      <c r="AI117" s="12" t="n">
        <v>393.1</v>
      </c>
      <c r="AJ117" s="12" t="n">
        <v>412.75</v>
      </c>
      <c r="AK117" s="8" t="n">
        <v>15</v>
      </c>
      <c r="AL117" s="10" t="n">
        <v>0.25</v>
      </c>
      <c r="AM117" s="8" t="s">
        <v>74</v>
      </c>
      <c r="AN117" s="12" t="n">
        <v>22</v>
      </c>
      <c r="AO117" s="8" t="s">
        <v>77</v>
      </c>
      <c r="AP117" s="8" t="s">
        <v>74</v>
      </c>
      <c r="AQ117" s="10" t="n">
        <v>0.9</v>
      </c>
      <c r="AR117" s="8" t="n">
        <v>4</v>
      </c>
      <c r="AS117" s="8" t="n">
        <v>5</v>
      </c>
      <c r="AT117" s="8" t="n">
        <v>1</v>
      </c>
      <c r="AU117" s="8" t="n">
        <v>3</v>
      </c>
      <c r="AV117" s="8" t="n">
        <v>3</v>
      </c>
      <c r="AW117" s="8" t="n">
        <v>3</v>
      </c>
      <c r="AX117" s="8" t="n">
        <v>2</v>
      </c>
      <c r="AY117" s="8" t="n">
        <v>3</v>
      </c>
      <c r="AZ117" s="8" t="n">
        <v>1</v>
      </c>
      <c r="BA117" s="8" t="n">
        <v>2</v>
      </c>
      <c r="BB117" s="8" t="n">
        <v>4</v>
      </c>
      <c r="BC117" s="8" t="n">
        <v>3</v>
      </c>
      <c r="BD117" s="8" t="n">
        <v>4</v>
      </c>
      <c r="BE117" s="8" t="n">
        <v>2</v>
      </c>
      <c r="BF117" s="8" t="n">
        <v>3</v>
      </c>
      <c r="BG117" s="8" t="n">
        <v>1</v>
      </c>
      <c r="BH117" s="8" t="n">
        <v>5</v>
      </c>
      <c r="BI117" s="8" t="n">
        <v>5</v>
      </c>
      <c r="BJ117" s="9" t="n">
        <v>42</v>
      </c>
      <c r="BK117" s="9" t="n">
        <v>38</v>
      </c>
      <c r="BL117" s="9" t="n">
        <v>9</v>
      </c>
      <c r="BM117" s="9" t="n">
        <v>15</v>
      </c>
      <c r="BN117" s="10" t="n">
        <v>0.2</v>
      </c>
      <c r="BO117" s="10" t="n">
        <v>0.2</v>
      </c>
      <c r="BP117" s="10" t="n">
        <f aca="false">IF(AND(ISNUMBER(BN117),ISNUMBER(BO117)),BN117+BO117,"")</f>
        <v>0.4</v>
      </c>
      <c r="BQ117" s="10" t="n">
        <v>0.3</v>
      </c>
      <c r="BR117" s="10" t="n">
        <v>0.2</v>
      </c>
      <c r="BS117" s="10" t="n">
        <v>0.1</v>
      </c>
    </row>
    <row r="118" customFormat="false" ht="15" hidden="false" customHeight="false" outlineLevel="0" collapsed="false">
      <c r="A118" s="8" t="s">
        <v>115</v>
      </c>
      <c r="B118" s="8" t="s">
        <v>120</v>
      </c>
      <c r="C118" s="8" t="n">
        <v>3</v>
      </c>
      <c r="D118" s="9" t="n">
        <v>970</v>
      </c>
      <c r="E118" s="9" t="n">
        <v>500</v>
      </c>
      <c r="F118" s="8" t="s">
        <v>92</v>
      </c>
      <c r="G118" s="8" t="s">
        <v>74</v>
      </c>
      <c r="H118" s="10"/>
      <c r="I118" s="10" t="n">
        <v>0.004</v>
      </c>
      <c r="J118" s="10" t="n">
        <v>0.001</v>
      </c>
      <c r="K118" s="8" t="n">
        <v>0</v>
      </c>
      <c r="L118" s="8" t="n">
        <v>30</v>
      </c>
      <c r="M118" s="10" t="n">
        <v>0.005</v>
      </c>
      <c r="N118" s="8" t="n">
        <v>0</v>
      </c>
      <c r="O118" s="9" t="n">
        <v>21</v>
      </c>
      <c r="P118" s="10" t="n">
        <f aca="false">IF(AND(ISNUMBER(O118),ISNUMBER(D118),D118&gt;0),O118/D118,"")</f>
        <v>0.0216494845360825</v>
      </c>
      <c r="Q118" s="9" t="n">
        <v>35</v>
      </c>
      <c r="R118" s="9" t="n">
        <v>35</v>
      </c>
      <c r="S118" s="9" t="n">
        <v>79</v>
      </c>
      <c r="T118" s="11" t="n">
        <f aca="false">IF(AND(ISNUMBER(S118),ISNUMBER(D118),D118&gt;0),S118/D118,"")</f>
        <v>0.0814432989690722</v>
      </c>
      <c r="U118" s="10" t="n">
        <v>0.07</v>
      </c>
      <c r="V118" s="10" t="n">
        <v>0.105</v>
      </c>
      <c r="W118" s="10" t="n">
        <v>0.11</v>
      </c>
      <c r="X118" s="10" t="n">
        <v>0.055</v>
      </c>
      <c r="Y118" s="8" t="n">
        <v>0</v>
      </c>
      <c r="Z118" s="8" t="s">
        <v>74</v>
      </c>
      <c r="AA118" s="8" t="n">
        <v>1</v>
      </c>
      <c r="AB118" s="8" t="n">
        <v>0</v>
      </c>
      <c r="AC118" s="11" t="n">
        <f aca="false">IF(AND(ISNUMBER(AA118),ISNUMBER(D118),D118&gt;0),AA118/D118*100,"")</f>
        <v>0.103092783505155</v>
      </c>
      <c r="AD118" s="12" t="n">
        <v>0</v>
      </c>
      <c r="AE118" s="8" t="s">
        <v>77</v>
      </c>
      <c r="AF118" s="8" t="s">
        <v>74</v>
      </c>
      <c r="AG118" s="12" t="n">
        <v>326.16</v>
      </c>
      <c r="AH118" s="12" t="n">
        <v>455.5</v>
      </c>
      <c r="AI118" s="12" t="n">
        <v>625.87</v>
      </c>
      <c r="AJ118" s="12" t="n">
        <v>738.66</v>
      </c>
      <c r="AK118" s="8" t="n">
        <v>40</v>
      </c>
      <c r="AL118" s="10" t="n">
        <v>0.9</v>
      </c>
      <c r="AM118" s="8" t="s">
        <v>74</v>
      </c>
      <c r="AN118" s="12" t="n">
        <v>52</v>
      </c>
      <c r="AO118" s="8" t="s">
        <v>74</v>
      </c>
      <c r="AP118" s="8" t="s">
        <v>74</v>
      </c>
      <c r="AQ118" s="10" t="n">
        <v>0.4</v>
      </c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9" t="n">
        <v>7</v>
      </c>
      <c r="BK118" s="9" t="n">
        <v>0</v>
      </c>
      <c r="BL118" s="9" t="n">
        <v>0</v>
      </c>
      <c r="BM118" s="9" t="n">
        <v>4</v>
      </c>
      <c r="BN118" s="10" t="n">
        <v>0</v>
      </c>
      <c r="BO118" s="10" t="n">
        <v>0</v>
      </c>
      <c r="BP118" s="10" t="n">
        <f aca="false">IF(AND(ISNUMBER(BN118),ISNUMBER(BO118)),BN118+BO118,"")</f>
        <v>0</v>
      </c>
      <c r="BQ118" s="10" t="n">
        <v>0.1</v>
      </c>
      <c r="BR118" s="10" t="n">
        <v>0.6</v>
      </c>
      <c r="BS118" s="10" t="n">
        <v>0.3</v>
      </c>
    </row>
    <row r="119" customFormat="false" ht="15" hidden="false" customHeight="false" outlineLevel="0" collapsed="false">
      <c r="A119" s="8" t="s">
        <v>116</v>
      </c>
      <c r="B119" s="8" t="s">
        <v>120</v>
      </c>
      <c r="C119" s="8" t="n">
        <v>3</v>
      </c>
      <c r="D119" s="9" t="n">
        <v>2753</v>
      </c>
      <c r="E119" s="9" t="n">
        <v>479</v>
      </c>
      <c r="F119" s="8" t="s">
        <v>73</v>
      </c>
      <c r="G119" s="8" t="s">
        <v>74</v>
      </c>
      <c r="H119" s="10" t="n">
        <v>0.1</v>
      </c>
      <c r="I119" s="10" t="n">
        <v>0.02</v>
      </c>
      <c r="J119" s="10" t="n">
        <v>0.015</v>
      </c>
      <c r="K119" s="8" t="n">
        <v>0</v>
      </c>
      <c r="L119" s="8" t="n">
        <v>5</v>
      </c>
      <c r="M119" s="10" t="n">
        <v>0.04</v>
      </c>
      <c r="N119" s="8" t="n">
        <v>0</v>
      </c>
      <c r="O119" s="9" t="n">
        <v>246</v>
      </c>
      <c r="P119" s="10" t="n">
        <f aca="false">IF(AND(ISNUMBER(O119),ISNUMBER(D119),D119&gt;0),O119/D119,"")</f>
        <v>0.0893570650199782</v>
      </c>
      <c r="Q119" s="9" t="n">
        <v>170</v>
      </c>
      <c r="R119" s="9" t="n">
        <v>118</v>
      </c>
      <c r="S119" s="9" t="n">
        <v>3276</v>
      </c>
      <c r="T119" s="11" t="n">
        <f aca="false">IF(AND(ISNUMBER(S119),ISNUMBER(D119),D119&gt;0),S119/D119,"")</f>
        <v>1.18997457319288</v>
      </c>
      <c r="U119" s="10" t="n">
        <v>0.06</v>
      </c>
      <c r="V119" s="10" t="n">
        <v>0.1</v>
      </c>
      <c r="W119" s="10" t="n">
        <v>0.06</v>
      </c>
      <c r="X119" s="10"/>
      <c r="Y119" s="8" t="n">
        <v>0</v>
      </c>
      <c r="Z119" s="8" t="s">
        <v>74</v>
      </c>
      <c r="AA119" s="8" t="n">
        <v>41</v>
      </c>
      <c r="AB119" s="8" t="n">
        <v>1</v>
      </c>
      <c r="AC119" s="11" t="n">
        <f aca="false">IF(AND(ISNUMBER(AA119),ISNUMBER(D119),D119&gt;0),AA119/D119*100,"")</f>
        <v>1.48928441699964</v>
      </c>
      <c r="AD119" s="12" t="n">
        <v>580</v>
      </c>
      <c r="AE119" s="8" t="s">
        <v>74</v>
      </c>
      <c r="AF119" s="8" t="s">
        <v>77</v>
      </c>
      <c r="AG119" s="12" t="n">
        <v>329</v>
      </c>
      <c r="AH119" s="12" t="n">
        <v>329</v>
      </c>
      <c r="AI119" s="12" t="n">
        <v>338</v>
      </c>
      <c r="AJ119" s="12" t="n">
        <v>346</v>
      </c>
      <c r="AK119" s="8" t="n">
        <v>20</v>
      </c>
      <c r="AL119" s="10" t="n">
        <v>0.6</v>
      </c>
      <c r="AM119" s="8" t="s">
        <v>77</v>
      </c>
      <c r="AN119" s="12"/>
      <c r="AO119" s="8" t="s">
        <v>74</v>
      </c>
      <c r="AP119" s="8" t="s">
        <v>74</v>
      </c>
      <c r="AQ119" s="10" t="n">
        <v>0.9</v>
      </c>
      <c r="AR119" s="8" t="n">
        <v>3</v>
      </c>
      <c r="AS119" s="8" t="n">
        <v>3</v>
      </c>
      <c r="AT119" s="8"/>
      <c r="AU119" s="8"/>
      <c r="AV119" s="8"/>
      <c r="AW119" s="8"/>
      <c r="AX119" s="8"/>
      <c r="AY119" s="8"/>
      <c r="AZ119" s="8"/>
      <c r="BA119" s="8" t="n">
        <v>3</v>
      </c>
      <c r="BB119" s="8"/>
      <c r="BC119" s="8"/>
      <c r="BD119" s="8"/>
      <c r="BE119" s="8"/>
      <c r="BF119" s="8"/>
      <c r="BG119" s="8"/>
      <c r="BH119" s="8" t="n">
        <v>3</v>
      </c>
      <c r="BI119" s="8" t="n">
        <v>3</v>
      </c>
      <c r="BJ119" s="9" t="n">
        <v>130</v>
      </c>
      <c r="BK119" s="9" t="n">
        <v>6</v>
      </c>
      <c r="BL119" s="9" t="n">
        <v>41</v>
      </c>
      <c r="BM119" s="9" t="n">
        <v>40</v>
      </c>
      <c r="BN119" s="10" t="n">
        <v>0.3</v>
      </c>
      <c r="BO119" s="10" t="n">
        <v>0.3</v>
      </c>
      <c r="BP119" s="10" t="n">
        <f aca="false">IF(AND(ISNUMBER(BN119),ISNUMBER(BO119)),BN119+BO119,"")</f>
        <v>0.6</v>
      </c>
      <c r="BQ119" s="10" t="n">
        <v>0.2</v>
      </c>
      <c r="BR119" s="10" t="n">
        <v>0.1</v>
      </c>
      <c r="BS119" s="10" t="n">
        <v>0.1</v>
      </c>
    </row>
    <row r="120" customFormat="false" ht="15" hidden="false" customHeight="false" outlineLevel="0" collapsed="false">
      <c r="A120" s="8" t="s">
        <v>117</v>
      </c>
      <c r="B120" s="8" t="s">
        <v>120</v>
      </c>
      <c r="C120" s="8" t="n">
        <v>3</v>
      </c>
      <c r="D120" s="9" t="n">
        <v>1233</v>
      </c>
      <c r="E120" s="9" t="n">
        <v>364</v>
      </c>
      <c r="F120" s="8" t="s">
        <v>92</v>
      </c>
      <c r="G120" s="8" t="s">
        <v>74</v>
      </c>
      <c r="H120" s="10" t="n">
        <v>0.8</v>
      </c>
      <c r="I120" s="10" t="n">
        <v>0.128</v>
      </c>
      <c r="J120" s="10" t="n">
        <v>0.033</v>
      </c>
      <c r="K120" s="8" t="n">
        <v>0</v>
      </c>
      <c r="L120" s="8" t="n">
        <v>7</v>
      </c>
      <c r="M120" s="10" t="n">
        <v>0.15</v>
      </c>
      <c r="N120" s="8" t="n">
        <v>1</v>
      </c>
      <c r="O120" s="9" t="n">
        <v>150</v>
      </c>
      <c r="P120" s="10" t="n">
        <f aca="false">IF(AND(ISNUMBER(O120),ISNUMBER(D120),D120&gt;0),O120/D120,"")</f>
        <v>0.121654501216545</v>
      </c>
      <c r="Q120" s="9" t="n">
        <v>103</v>
      </c>
      <c r="R120" s="9" t="n">
        <v>85</v>
      </c>
      <c r="S120" s="9" t="n">
        <v>2621</v>
      </c>
      <c r="T120" s="11" t="n">
        <f aca="false">IF(AND(ISNUMBER(S120),ISNUMBER(D120),D120&gt;0),S120/D120,"")</f>
        <v>2.1257096512571</v>
      </c>
      <c r="U120" s="10" t="n">
        <v>0.058</v>
      </c>
      <c r="V120" s="10" t="n">
        <v>0.095</v>
      </c>
      <c r="W120" s="10" t="n">
        <v>0.11</v>
      </c>
      <c r="X120" s="10" t="n">
        <v>0.065</v>
      </c>
      <c r="Y120" s="8" t="n">
        <v>0</v>
      </c>
      <c r="Z120" s="8" t="s">
        <v>74</v>
      </c>
      <c r="AA120" s="8" t="n">
        <v>23</v>
      </c>
      <c r="AB120" s="8" t="n">
        <v>0</v>
      </c>
      <c r="AC120" s="11" t="n">
        <f aca="false">IF(AND(ISNUMBER(AA120),ISNUMBER(D120),D120&gt;0),AA120/D120*100,"")</f>
        <v>1.86536901865369</v>
      </c>
      <c r="AD120" s="12" t="n">
        <v>4355</v>
      </c>
      <c r="AE120" s="8" t="s">
        <v>74</v>
      </c>
      <c r="AF120" s="8" t="s">
        <v>77</v>
      </c>
      <c r="AG120" s="12" t="n">
        <v>301.05</v>
      </c>
      <c r="AH120" s="12" t="n">
        <v>340.12</v>
      </c>
      <c r="AI120" s="12" t="n">
        <v>510.32</v>
      </c>
      <c r="AJ120" s="12" t="n">
        <v>514.25</v>
      </c>
      <c r="AK120" s="8" t="n">
        <v>26</v>
      </c>
      <c r="AL120" s="10" t="n">
        <v>0.7</v>
      </c>
      <c r="AM120" s="8" t="s">
        <v>74</v>
      </c>
      <c r="AN120" s="12" t="n">
        <v>42</v>
      </c>
      <c r="AO120" s="8" t="s">
        <v>77</v>
      </c>
      <c r="AP120" s="8" t="s">
        <v>74</v>
      </c>
      <c r="AQ120" s="10" t="n">
        <v>0.97</v>
      </c>
      <c r="AR120" s="8" t="n">
        <v>4</v>
      </c>
      <c r="AS120" s="8" t="n">
        <v>0</v>
      </c>
      <c r="AT120" s="8" t="n">
        <v>1</v>
      </c>
      <c r="AU120" s="8" t="n">
        <v>3</v>
      </c>
      <c r="AV120" s="8" t="n">
        <v>2</v>
      </c>
      <c r="AW120" s="8" t="n">
        <v>1</v>
      </c>
      <c r="AX120" s="8" t="n">
        <v>1</v>
      </c>
      <c r="AY120" s="8" t="n">
        <v>2</v>
      </c>
      <c r="AZ120" s="8" t="n">
        <v>1</v>
      </c>
      <c r="BA120" s="8" t="n">
        <v>1</v>
      </c>
      <c r="BB120" s="8" t="n">
        <v>4</v>
      </c>
      <c r="BC120" s="8" t="n">
        <v>4</v>
      </c>
      <c r="BD120" s="8" t="n">
        <v>3</v>
      </c>
      <c r="BE120" s="8" t="n">
        <v>2</v>
      </c>
      <c r="BF120" s="8" t="n">
        <v>2</v>
      </c>
      <c r="BG120" s="8" t="n">
        <v>1</v>
      </c>
      <c r="BH120" s="8" t="n">
        <v>3</v>
      </c>
      <c r="BI120" s="8" t="n">
        <v>5</v>
      </c>
      <c r="BJ120" s="9" t="n">
        <v>68</v>
      </c>
      <c r="BK120" s="9" t="n">
        <v>82</v>
      </c>
      <c r="BL120" s="9"/>
      <c r="BM120" s="9" t="n">
        <v>3</v>
      </c>
      <c r="BN120" s="10" t="n">
        <v>0</v>
      </c>
      <c r="BO120" s="10" t="n">
        <v>0.5</v>
      </c>
      <c r="BP120" s="10" t="n">
        <f aca="false">IF(AND(ISNUMBER(BN120),ISNUMBER(BO120)),BN120+BO120,"")</f>
        <v>0.5</v>
      </c>
      <c r="BQ120" s="10" t="n">
        <v>0.3</v>
      </c>
      <c r="BR120" s="10" t="n">
        <v>0.1</v>
      </c>
      <c r="BS120" s="10" t="n">
        <v>0.1</v>
      </c>
    </row>
    <row r="121" customFormat="false" ht="15" hidden="false" customHeight="false" outlineLevel="0" collapsed="false">
      <c r="A121" s="8" t="s">
        <v>118</v>
      </c>
      <c r="B121" s="8" t="s">
        <v>120</v>
      </c>
      <c r="C121" s="8" t="n">
        <v>3</v>
      </c>
      <c r="D121" s="9" t="n">
        <v>334</v>
      </c>
      <c r="E121" s="9" t="n">
        <v>97</v>
      </c>
      <c r="F121" s="8" t="s">
        <v>73</v>
      </c>
      <c r="G121" s="8" t="s">
        <v>74</v>
      </c>
      <c r="H121" s="10" t="n">
        <v>0.1</v>
      </c>
      <c r="I121" s="10" t="n">
        <v>0.006</v>
      </c>
      <c r="J121" s="10"/>
      <c r="K121" s="8" t="n">
        <v>0</v>
      </c>
      <c r="L121" s="8"/>
      <c r="M121" s="10" t="n">
        <v>0.001</v>
      </c>
      <c r="N121" s="8" t="n">
        <v>0</v>
      </c>
      <c r="O121" s="9" t="n">
        <v>3</v>
      </c>
      <c r="P121" s="10" t="n">
        <f aca="false">IF(AND(ISNUMBER(O121),ISNUMBER(D121),D121&gt;0),O121/D121,"")</f>
        <v>0.00898203592814371</v>
      </c>
      <c r="Q121" s="9" t="n">
        <v>1</v>
      </c>
      <c r="R121" s="9" t="n">
        <v>1</v>
      </c>
      <c r="S121" s="9" t="n">
        <v>28</v>
      </c>
      <c r="T121" s="11" t="n">
        <f aca="false">IF(AND(ISNUMBER(S121),ISNUMBER(D121),D121&gt;0),S121/D121,"")</f>
        <v>0.0838323353293413</v>
      </c>
      <c r="U121" s="10" t="n">
        <v>0.08</v>
      </c>
      <c r="V121" s="10" t="n">
        <v>0.12</v>
      </c>
      <c r="W121" s="10" t="n">
        <v>0.095</v>
      </c>
      <c r="X121" s="10"/>
      <c r="Y121" s="8" t="n">
        <v>0</v>
      </c>
      <c r="Z121" s="8" t="s">
        <v>74</v>
      </c>
      <c r="AA121" s="8" t="n">
        <v>24</v>
      </c>
      <c r="AB121" s="8" t="n">
        <v>0</v>
      </c>
      <c r="AC121" s="11" t="n">
        <f aca="false">IF(AND(ISNUMBER(AA121),ISNUMBER(D121),D121&gt;0),AA121/D121*100,"")</f>
        <v>7.18562874251497</v>
      </c>
      <c r="AD121" s="12" t="n">
        <v>0</v>
      </c>
      <c r="AE121" s="8" t="s">
        <v>77</v>
      </c>
      <c r="AF121" s="8" t="s">
        <v>77</v>
      </c>
      <c r="AG121" s="12" t="n">
        <v>373</v>
      </c>
      <c r="AH121" s="12" t="n">
        <v>393</v>
      </c>
      <c r="AI121" s="12" t="n">
        <v>465</v>
      </c>
      <c r="AJ121" s="12" t="n">
        <v>560</v>
      </c>
      <c r="AK121" s="8" t="n">
        <v>23</v>
      </c>
      <c r="AL121" s="10" t="n">
        <v>0.7</v>
      </c>
      <c r="AM121" s="8" t="s">
        <v>74</v>
      </c>
      <c r="AN121" s="12" t="n">
        <v>34</v>
      </c>
      <c r="AO121" s="8" t="s">
        <v>77</v>
      </c>
      <c r="AP121" s="8" t="s">
        <v>74</v>
      </c>
      <c r="AQ121" s="10" t="n">
        <v>0.8</v>
      </c>
      <c r="AR121" s="8" t="n">
        <v>2</v>
      </c>
      <c r="AS121" s="8" t="n">
        <v>1</v>
      </c>
      <c r="AT121" s="8" t="n">
        <v>1</v>
      </c>
      <c r="AU121" s="8" t="n">
        <v>2</v>
      </c>
      <c r="AV121" s="8" t="n">
        <v>3</v>
      </c>
      <c r="AW121" s="8" t="n">
        <v>2</v>
      </c>
      <c r="AX121" s="8" t="n">
        <v>1</v>
      </c>
      <c r="AY121" s="8" t="n">
        <v>1</v>
      </c>
      <c r="AZ121" s="8" t="n">
        <v>1</v>
      </c>
      <c r="BA121" s="8" t="n">
        <v>1</v>
      </c>
      <c r="BB121" s="8" t="n">
        <v>3</v>
      </c>
      <c r="BC121" s="8" t="n">
        <v>2</v>
      </c>
      <c r="BD121" s="8" t="n">
        <v>1</v>
      </c>
      <c r="BE121" s="8" t="n">
        <v>1</v>
      </c>
      <c r="BF121" s="8" t="n">
        <v>2</v>
      </c>
      <c r="BG121" s="8" t="n">
        <v>2</v>
      </c>
      <c r="BH121" s="8" t="n">
        <v>3</v>
      </c>
      <c r="BI121" s="8" t="n">
        <v>1</v>
      </c>
      <c r="BJ121" s="9"/>
      <c r="BK121" s="9"/>
      <c r="BL121" s="9"/>
      <c r="BM121" s="9" t="n">
        <v>4</v>
      </c>
      <c r="BN121" s="10"/>
      <c r="BO121" s="10"/>
      <c r="BP121" s="10" t="str">
        <f aca="false">IF(AND(ISNUMBER(BN121),ISNUMBER(BO121)),BN121+BO121,"")</f>
        <v/>
      </c>
      <c r="BQ121" s="10"/>
      <c r="BR121" s="10"/>
      <c r="BS121" s="10"/>
    </row>
    <row r="122" customFormat="false" ht="15" hidden="false" customHeight="false" outlineLevel="0" collapsed="false">
      <c r="A122" s="8" t="s">
        <v>71</v>
      </c>
      <c r="B122" s="8" t="s">
        <v>121</v>
      </c>
      <c r="C122" s="8" t="n">
        <v>4</v>
      </c>
      <c r="D122" s="9" t="n">
        <v>156</v>
      </c>
      <c r="E122" s="9" t="n">
        <v>24</v>
      </c>
      <c r="F122" s="8" t="s">
        <v>73</v>
      </c>
      <c r="G122" s="8" t="s">
        <v>77</v>
      </c>
      <c r="H122" s="10" t="n">
        <v>0.7</v>
      </c>
      <c r="I122" s="10" t="n">
        <v>0.041</v>
      </c>
      <c r="J122" s="10" t="n">
        <v>0.01</v>
      </c>
      <c r="K122" s="8" t="n">
        <v>0</v>
      </c>
      <c r="L122" s="8" t="n">
        <v>15</v>
      </c>
      <c r="M122" s="10" t="n">
        <v>0.02</v>
      </c>
      <c r="N122" s="8" t="n">
        <v>0</v>
      </c>
      <c r="O122" s="9" t="n">
        <v>17</v>
      </c>
      <c r="P122" s="10" t="n">
        <f aca="false">IF(AND(ISNUMBER(O122),ISNUMBER(D122),D122&gt;0),O122/D122,"")</f>
        <v>0.108974358974359</v>
      </c>
      <c r="Q122" s="9" t="n">
        <v>29</v>
      </c>
      <c r="R122" s="9" t="n">
        <v>18</v>
      </c>
      <c r="S122" s="9" t="n">
        <v>71</v>
      </c>
      <c r="T122" s="11" t="n">
        <f aca="false">IF(AND(ISNUMBER(S122),ISNUMBER(D122),D122&gt;0),S122/D122,"")</f>
        <v>0.455128205128205</v>
      </c>
      <c r="U122" s="10" t="n">
        <v>0.097</v>
      </c>
      <c r="V122" s="10" t="n">
        <v>0.15</v>
      </c>
      <c r="W122" s="10" t="n">
        <v>0.08</v>
      </c>
      <c r="X122" s="10" t="n">
        <v>0.1</v>
      </c>
      <c r="Y122" s="8" t="n">
        <v>0</v>
      </c>
      <c r="Z122" s="8" t="s">
        <v>74</v>
      </c>
      <c r="AA122" s="8" t="n">
        <v>15</v>
      </c>
      <c r="AB122" s="8" t="n">
        <v>0</v>
      </c>
      <c r="AC122" s="11" t="n">
        <f aca="false">IF(AND(ISNUMBER(AA122),ISNUMBER(D122),D122&gt;0),AA122/D122*100,"")</f>
        <v>9.61538461538462</v>
      </c>
      <c r="AD122" s="12" t="n">
        <v>3600</v>
      </c>
      <c r="AE122" s="8" t="s">
        <v>74</v>
      </c>
      <c r="AF122" s="8" t="s">
        <v>74</v>
      </c>
      <c r="AG122" s="12" t="n">
        <v>278.8</v>
      </c>
      <c r="AH122" s="12" t="n">
        <v>278.8</v>
      </c>
      <c r="AI122" s="12" t="n">
        <v>304.4</v>
      </c>
      <c r="AJ122" s="12" t="n">
        <v>329.73</v>
      </c>
      <c r="AK122" s="8" t="n">
        <v>16</v>
      </c>
      <c r="AL122" s="10" t="n">
        <v>0.25</v>
      </c>
      <c r="AM122" s="8" t="s">
        <v>74</v>
      </c>
      <c r="AN122" s="12" t="n">
        <v>32</v>
      </c>
      <c r="AO122" s="8" t="s">
        <v>74</v>
      </c>
      <c r="AP122" s="8" t="s">
        <v>74</v>
      </c>
      <c r="AQ122" s="10" t="n">
        <v>0.8</v>
      </c>
      <c r="AR122" s="8" t="n">
        <v>5</v>
      </c>
      <c r="AS122" s="8" t="n">
        <v>3</v>
      </c>
      <c r="AT122" s="8" t="n">
        <v>0</v>
      </c>
      <c r="AU122" s="8" t="n">
        <v>0</v>
      </c>
      <c r="AV122" s="8" t="n">
        <v>0</v>
      </c>
      <c r="AW122" s="8" t="n">
        <v>3</v>
      </c>
      <c r="AX122" s="8" t="n">
        <v>2</v>
      </c>
      <c r="AY122" s="8" t="n">
        <v>2</v>
      </c>
      <c r="AZ122" s="8" t="n">
        <v>4</v>
      </c>
      <c r="BA122" s="8" t="n">
        <v>4</v>
      </c>
      <c r="BB122" s="8" t="n">
        <v>3</v>
      </c>
      <c r="BC122" s="8" t="n">
        <v>5</v>
      </c>
      <c r="BD122" s="8" t="n">
        <v>4</v>
      </c>
      <c r="BE122" s="8" t="n">
        <v>4</v>
      </c>
      <c r="BF122" s="8" t="n">
        <v>4</v>
      </c>
      <c r="BG122" s="8" t="n">
        <v>0</v>
      </c>
      <c r="BH122" s="8" t="n">
        <v>5</v>
      </c>
      <c r="BI122" s="8" t="n">
        <v>5</v>
      </c>
      <c r="BJ122" s="9" t="n">
        <v>6</v>
      </c>
      <c r="BK122" s="9" t="n">
        <v>2</v>
      </c>
      <c r="BL122" s="9" t="n">
        <v>8</v>
      </c>
      <c r="BM122" s="9" t="n">
        <v>2</v>
      </c>
      <c r="BN122" s="10" t="n">
        <v>0.2</v>
      </c>
      <c r="BO122" s="10" t="n">
        <v>0.3</v>
      </c>
      <c r="BP122" s="10" t="n">
        <f aca="false">IF(AND(ISNUMBER(BN122),ISNUMBER(BO122)),BN122+BO122,"")</f>
        <v>0.5</v>
      </c>
      <c r="BQ122" s="10" t="n">
        <v>0.3</v>
      </c>
      <c r="BR122" s="10" t="n">
        <v>0.2</v>
      </c>
      <c r="BS122" s="10" t="n">
        <v>0</v>
      </c>
    </row>
    <row r="123" customFormat="false" ht="15" hidden="false" customHeight="false" outlineLevel="0" collapsed="false">
      <c r="A123" s="8" t="s">
        <v>75</v>
      </c>
      <c r="B123" s="8" t="s">
        <v>121</v>
      </c>
      <c r="C123" s="8" t="n">
        <v>4</v>
      </c>
      <c r="D123" s="9" t="n">
        <v>235</v>
      </c>
      <c r="E123" s="9" t="n">
        <v>129</v>
      </c>
      <c r="F123" s="8" t="s">
        <v>76</v>
      </c>
      <c r="G123" s="8" t="s">
        <v>74</v>
      </c>
      <c r="H123" s="10" t="n">
        <v>0.8</v>
      </c>
      <c r="I123" s="10" t="n">
        <v>0.01</v>
      </c>
      <c r="J123" s="10" t="n">
        <v>0.01</v>
      </c>
      <c r="K123" s="8" t="n">
        <v>0</v>
      </c>
      <c r="L123" s="8"/>
      <c r="M123" s="10" t="n">
        <v>0.015</v>
      </c>
      <c r="N123" s="8" t="n">
        <v>0</v>
      </c>
      <c r="O123" s="9" t="n">
        <v>8</v>
      </c>
      <c r="P123" s="10" t="n">
        <f aca="false">IF(AND(ISNUMBER(O123),ISNUMBER(D123),D123&gt;0),O123/D123,"")</f>
        <v>0.0340425531914894</v>
      </c>
      <c r="Q123" s="9"/>
      <c r="R123" s="9" t="n">
        <v>1</v>
      </c>
      <c r="S123" s="9" t="n">
        <v>14</v>
      </c>
      <c r="T123" s="11" t="n">
        <f aca="false">IF(AND(ISNUMBER(S123),ISNUMBER(D123),D123&gt;0),S123/D123,"")</f>
        <v>0.0595744680851064</v>
      </c>
      <c r="U123" s="10" t="n">
        <v>0.08</v>
      </c>
      <c r="V123" s="10" t="n">
        <v>0.11</v>
      </c>
      <c r="W123" s="10" t="n">
        <v>0.085</v>
      </c>
      <c r="X123" s="10" t="n">
        <v>0.03</v>
      </c>
      <c r="Y123" s="8" t="n">
        <v>0</v>
      </c>
      <c r="Z123" s="8" t="s">
        <v>74</v>
      </c>
      <c r="AA123" s="8" t="n">
        <v>22</v>
      </c>
      <c r="AB123" s="8" t="n">
        <v>0</v>
      </c>
      <c r="AC123" s="11" t="n">
        <f aca="false">IF(AND(ISNUMBER(AA123),ISNUMBER(D123),D123&gt;0),AA123/D123*100,"")</f>
        <v>9.36170212765958</v>
      </c>
      <c r="AD123" s="12" t="n">
        <v>2800</v>
      </c>
      <c r="AE123" s="8" t="s">
        <v>74</v>
      </c>
      <c r="AF123" s="8" t="s">
        <v>77</v>
      </c>
      <c r="AG123" s="12" t="n">
        <v>375</v>
      </c>
      <c r="AH123" s="12" t="n">
        <v>432</v>
      </c>
      <c r="AI123" s="12" t="n">
        <v>491</v>
      </c>
      <c r="AJ123" s="12" t="n">
        <v>740</v>
      </c>
      <c r="AK123" s="8" t="n">
        <v>20</v>
      </c>
      <c r="AL123" s="10" t="n">
        <v>1.5</v>
      </c>
      <c r="AM123" s="8" t="s">
        <v>74</v>
      </c>
      <c r="AN123" s="12" t="n">
        <v>29</v>
      </c>
      <c r="AO123" s="8" t="s">
        <v>77</v>
      </c>
      <c r="AP123" s="8" t="s">
        <v>74</v>
      </c>
      <c r="AQ123" s="10" t="n">
        <v>0.8</v>
      </c>
      <c r="AR123" s="8" t="n">
        <v>2</v>
      </c>
      <c r="AS123" s="8" t="n">
        <v>1</v>
      </c>
      <c r="AT123" s="8" t="n">
        <v>1</v>
      </c>
      <c r="AU123" s="8" t="n">
        <v>1</v>
      </c>
      <c r="AV123" s="8" t="n">
        <v>0</v>
      </c>
      <c r="AW123" s="8" t="n">
        <v>0</v>
      </c>
      <c r="AX123" s="8" t="n">
        <v>1</v>
      </c>
      <c r="AY123" s="8" t="n">
        <v>2</v>
      </c>
      <c r="AZ123" s="8" t="n">
        <v>2</v>
      </c>
      <c r="BA123" s="8" t="n">
        <v>2</v>
      </c>
      <c r="BB123" s="8" t="n">
        <v>1</v>
      </c>
      <c r="BC123" s="8" t="n">
        <v>1</v>
      </c>
      <c r="BD123" s="8" t="n">
        <v>0</v>
      </c>
      <c r="BE123" s="8" t="n">
        <v>1</v>
      </c>
      <c r="BF123" s="8" t="n">
        <v>1</v>
      </c>
      <c r="BG123" s="8" t="n">
        <v>0</v>
      </c>
      <c r="BH123" s="8" t="n">
        <v>1</v>
      </c>
      <c r="BI123" s="8" t="n">
        <v>2</v>
      </c>
      <c r="BJ123" s="9" t="n">
        <v>4</v>
      </c>
      <c r="BK123" s="9" t="n">
        <v>0</v>
      </c>
      <c r="BL123" s="9" t="n">
        <v>0</v>
      </c>
      <c r="BM123" s="9" t="n">
        <v>6</v>
      </c>
      <c r="BN123" s="10" t="n">
        <v>0.1</v>
      </c>
      <c r="BO123" s="10" t="n">
        <v>0.1</v>
      </c>
      <c r="BP123" s="10" t="n">
        <f aca="false">IF(AND(ISNUMBER(BN123),ISNUMBER(BO123)),BN123+BO123,"")</f>
        <v>0.2</v>
      </c>
      <c r="BQ123" s="10" t="n">
        <v>0.3</v>
      </c>
      <c r="BR123" s="10" t="n">
        <v>0.3</v>
      </c>
      <c r="BS123" s="10" t="n">
        <v>0.2</v>
      </c>
    </row>
    <row r="124" customFormat="false" ht="15" hidden="false" customHeight="false" outlineLevel="0" collapsed="false">
      <c r="A124" s="8" t="s">
        <v>78</v>
      </c>
      <c r="B124" s="8" t="s">
        <v>121</v>
      </c>
      <c r="C124" s="8" t="n">
        <v>4</v>
      </c>
      <c r="D124" s="9" t="n">
        <v>77</v>
      </c>
      <c r="E124" s="9" t="n">
        <v>59</v>
      </c>
      <c r="F124" s="8" t="s">
        <v>73</v>
      </c>
      <c r="G124" s="8" t="s">
        <v>74</v>
      </c>
      <c r="H124" s="10" t="n">
        <v>0</v>
      </c>
      <c r="I124" s="10" t="n">
        <v>0.004</v>
      </c>
      <c r="J124" s="10" t="n">
        <v>0.036</v>
      </c>
      <c r="K124" s="8" t="n">
        <v>0</v>
      </c>
      <c r="L124" s="8" t="n">
        <v>15</v>
      </c>
      <c r="M124" s="10" t="n">
        <v>0.001</v>
      </c>
      <c r="N124" s="8" t="n">
        <v>0</v>
      </c>
      <c r="O124" s="9" t="n">
        <v>5</v>
      </c>
      <c r="P124" s="10" t="n">
        <f aca="false">IF(AND(ISNUMBER(O124),ISNUMBER(D124),D124&gt;0),O124/D124,"")</f>
        <v>0.0649350649350649</v>
      </c>
      <c r="Q124" s="9" t="n">
        <v>0</v>
      </c>
      <c r="R124" s="9" t="n">
        <v>0</v>
      </c>
      <c r="S124" s="9" t="n">
        <v>51</v>
      </c>
      <c r="T124" s="11" t="n">
        <f aca="false">IF(AND(ISNUMBER(S124),ISNUMBER(D124),D124&gt;0),S124/D124,"")</f>
        <v>0.662337662337662</v>
      </c>
      <c r="U124" s="10" t="n">
        <v>0.1</v>
      </c>
      <c r="V124" s="10" t="n">
        <v>0.105</v>
      </c>
      <c r="W124" s="10" t="n">
        <v>0.095</v>
      </c>
      <c r="X124" s="10" t="n">
        <v>0.175</v>
      </c>
      <c r="Y124" s="8" t="n">
        <v>0</v>
      </c>
      <c r="Z124" s="8" t="s">
        <v>74</v>
      </c>
      <c r="AA124" s="8" t="n">
        <v>5</v>
      </c>
      <c r="AB124" s="8" t="n">
        <v>0</v>
      </c>
      <c r="AC124" s="11" t="n">
        <f aca="false">IF(AND(ISNUMBER(AA124),ISNUMBER(D124),D124&gt;0),AA124/D124*100,"")</f>
        <v>6.49350649350649</v>
      </c>
      <c r="AD124" s="12" t="n">
        <v>1970</v>
      </c>
      <c r="AE124" s="8" t="s">
        <v>74</v>
      </c>
      <c r="AF124" s="8" t="s">
        <v>74</v>
      </c>
      <c r="AG124" s="12" t="n">
        <v>340</v>
      </c>
      <c r="AH124" s="12" t="n">
        <v>396</v>
      </c>
      <c r="AI124" s="12" t="n">
        <v>430</v>
      </c>
      <c r="AJ124" s="12" t="n">
        <v>641</v>
      </c>
      <c r="AK124" s="8" t="n">
        <v>24</v>
      </c>
      <c r="AL124" s="10" t="n">
        <v>0.45</v>
      </c>
      <c r="AM124" s="8" t="s">
        <v>74</v>
      </c>
      <c r="AN124" s="12" t="n">
        <v>42</v>
      </c>
      <c r="AO124" s="8" t="s">
        <v>77</v>
      </c>
      <c r="AP124" s="8" t="s">
        <v>74</v>
      </c>
      <c r="AQ124" s="10" t="n">
        <v>0.9</v>
      </c>
      <c r="AR124" s="8" t="n">
        <v>1</v>
      </c>
      <c r="AS124" s="8" t="n">
        <v>0</v>
      </c>
      <c r="AT124" s="8" t="n">
        <v>0</v>
      </c>
      <c r="AU124" s="8" t="n">
        <v>1</v>
      </c>
      <c r="AV124" s="8" t="n">
        <v>0</v>
      </c>
      <c r="AW124" s="8" t="n">
        <v>0</v>
      </c>
      <c r="AX124" s="8" t="n">
        <v>0</v>
      </c>
      <c r="AY124" s="8" t="n">
        <v>1</v>
      </c>
      <c r="AZ124" s="8" t="n">
        <v>1</v>
      </c>
      <c r="BA124" s="8" t="n">
        <v>1</v>
      </c>
      <c r="BB124" s="8" t="n">
        <v>1</v>
      </c>
      <c r="BC124" s="8" t="n">
        <v>1</v>
      </c>
      <c r="BD124" s="8" t="n">
        <v>1</v>
      </c>
      <c r="BE124" s="8" t="n">
        <v>0</v>
      </c>
      <c r="BF124" s="8" t="n">
        <v>1</v>
      </c>
      <c r="BG124" s="8" t="n">
        <v>0</v>
      </c>
      <c r="BH124" s="8" t="n">
        <v>1</v>
      </c>
      <c r="BI124" s="8" t="n">
        <v>3</v>
      </c>
      <c r="BJ124" s="9" t="n">
        <v>4</v>
      </c>
      <c r="BK124" s="9" t="n">
        <v>0</v>
      </c>
      <c r="BL124" s="9" t="n">
        <v>1</v>
      </c>
      <c r="BM124" s="9" t="n">
        <v>15</v>
      </c>
      <c r="BN124" s="10" t="n">
        <v>0</v>
      </c>
      <c r="BO124" s="10" t="n">
        <v>0</v>
      </c>
      <c r="BP124" s="10" t="n">
        <f aca="false">IF(AND(ISNUMBER(BN124),ISNUMBER(BO124)),BN124+BO124,"")</f>
        <v>0</v>
      </c>
      <c r="BQ124" s="10" t="n">
        <v>0</v>
      </c>
      <c r="BR124" s="10" t="n">
        <v>0.9</v>
      </c>
      <c r="BS124" s="10" t="n">
        <v>0.1</v>
      </c>
    </row>
    <row r="125" customFormat="false" ht="15" hidden="false" customHeight="false" outlineLevel="0" collapsed="false">
      <c r="A125" s="8" t="s">
        <v>79</v>
      </c>
      <c r="B125" s="8" t="s">
        <v>121</v>
      </c>
      <c r="C125" s="8" t="n">
        <v>4</v>
      </c>
      <c r="D125" s="9" t="n">
        <v>11</v>
      </c>
      <c r="E125" s="9" t="n">
        <v>15</v>
      </c>
      <c r="F125" s="8" t="s">
        <v>73</v>
      </c>
      <c r="G125" s="8" t="s">
        <v>77</v>
      </c>
      <c r="H125" s="10" t="n">
        <v>0</v>
      </c>
      <c r="I125" s="10" t="n">
        <v>0.15</v>
      </c>
      <c r="J125" s="10" t="n">
        <v>0.15</v>
      </c>
      <c r="K125" s="8" t="n">
        <v>1</v>
      </c>
      <c r="L125" s="8" t="n">
        <v>15</v>
      </c>
      <c r="M125" s="10"/>
      <c r="N125" s="8" t="n">
        <v>0</v>
      </c>
      <c r="O125" s="9" t="n">
        <v>0</v>
      </c>
      <c r="P125" s="10" t="n">
        <f aca="false">IF(AND(ISNUMBER(O125),ISNUMBER(D125),D125&gt;0),O125/D125,"")</f>
        <v>0</v>
      </c>
      <c r="Q125" s="9" t="n">
        <v>1</v>
      </c>
      <c r="R125" s="9" t="n">
        <v>1</v>
      </c>
      <c r="S125" s="9" t="n">
        <v>0</v>
      </c>
      <c r="T125" s="11" t="n">
        <f aca="false">IF(AND(ISNUMBER(S125),ISNUMBER(D125),D125&gt;0),S125/D125,"")</f>
        <v>0</v>
      </c>
      <c r="U125" s="10"/>
      <c r="V125" s="10" t="n">
        <v>0.09</v>
      </c>
      <c r="W125" s="10" t="n">
        <v>0.03</v>
      </c>
      <c r="X125" s="10"/>
      <c r="Y125" s="8" t="n">
        <v>0</v>
      </c>
      <c r="Z125" s="8" t="s">
        <v>77</v>
      </c>
      <c r="AA125" s="8" t="n">
        <v>0</v>
      </c>
      <c r="AB125" s="8" t="n">
        <v>0</v>
      </c>
      <c r="AC125" s="11" t="n">
        <f aca="false">IF(AND(ISNUMBER(AA125),ISNUMBER(D125),D125&gt;0),AA125/D125*100,"")</f>
        <v>0</v>
      </c>
      <c r="AD125" s="12"/>
      <c r="AE125" s="8" t="s">
        <v>74</v>
      </c>
      <c r="AF125" s="8" t="s">
        <v>77</v>
      </c>
      <c r="AG125" s="12" t="n">
        <v>248.93</v>
      </c>
      <c r="AH125" s="12" t="n">
        <v>248.93</v>
      </c>
      <c r="AI125" s="12" t="n">
        <v>288.11</v>
      </c>
      <c r="AJ125" s="12" t="n">
        <v>325.34</v>
      </c>
      <c r="AK125" s="8" t="n">
        <v>15</v>
      </c>
      <c r="AL125" s="10" t="n">
        <v>1</v>
      </c>
      <c r="AM125" s="8" t="s">
        <v>77</v>
      </c>
      <c r="AN125" s="12"/>
      <c r="AO125" s="8" t="s">
        <v>77</v>
      </c>
      <c r="AP125" s="8" t="s">
        <v>77</v>
      </c>
      <c r="AQ125" s="10"/>
      <c r="AR125" s="8" t="n">
        <v>3</v>
      </c>
      <c r="AS125" s="8" t="n">
        <v>3</v>
      </c>
      <c r="AT125" s="8" t="n">
        <v>3</v>
      </c>
      <c r="AU125" s="8" t="n">
        <v>3</v>
      </c>
      <c r="AV125" s="8" t="n">
        <v>2</v>
      </c>
      <c r="AW125" s="8" t="n">
        <v>0</v>
      </c>
      <c r="AX125" s="8" t="n">
        <v>0</v>
      </c>
      <c r="AY125" s="8" t="n">
        <v>0</v>
      </c>
      <c r="AZ125" s="8" t="n">
        <v>0</v>
      </c>
      <c r="BA125" s="8" t="n">
        <v>0</v>
      </c>
      <c r="BB125" s="8" t="n">
        <v>0</v>
      </c>
      <c r="BC125" s="8" t="n">
        <v>0</v>
      </c>
      <c r="BD125" s="8" t="n">
        <v>0</v>
      </c>
      <c r="BE125" s="8" t="n">
        <v>0</v>
      </c>
      <c r="BF125" s="8" t="n">
        <v>0</v>
      </c>
      <c r="BG125" s="8"/>
      <c r="BH125" s="8" t="n">
        <v>0</v>
      </c>
      <c r="BI125" s="8" t="n">
        <v>0</v>
      </c>
      <c r="BJ125" s="9" t="n">
        <v>0</v>
      </c>
      <c r="BK125" s="9" t="n">
        <v>0</v>
      </c>
      <c r="BL125" s="9" t="n">
        <v>0</v>
      </c>
      <c r="BM125" s="9" t="n">
        <v>0</v>
      </c>
      <c r="BN125" s="10" t="n">
        <v>0</v>
      </c>
      <c r="BO125" s="10" t="n">
        <v>0</v>
      </c>
      <c r="BP125" s="10" t="n">
        <f aca="false">IF(AND(ISNUMBER(BN125),ISNUMBER(BO125)),BN125+BO125,"")</f>
        <v>0</v>
      </c>
      <c r="BQ125" s="10" t="n">
        <v>1</v>
      </c>
      <c r="BR125" s="10" t="n">
        <v>0</v>
      </c>
      <c r="BS125" s="10" t="n">
        <v>0</v>
      </c>
    </row>
    <row r="126" customFormat="false" ht="15" hidden="false" customHeight="false" outlineLevel="0" collapsed="false">
      <c r="A126" s="8" t="s">
        <v>80</v>
      </c>
      <c r="B126" s="8" t="s">
        <v>121</v>
      </c>
      <c r="C126" s="8" t="n">
        <v>4</v>
      </c>
      <c r="D126" s="9" t="n">
        <v>115</v>
      </c>
      <c r="E126" s="9" t="n">
        <v>45</v>
      </c>
      <c r="F126" s="8" t="s">
        <v>81</v>
      </c>
      <c r="G126" s="8" t="s">
        <v>74</v>
      </c>
      <c r="H126" s="10" t="n">
        <v>0</v>
      </c>
      <c r="I126" s="10" t="n">
        <v>0.01</v>
      </c>
      <c r="J126" s="10" t="n">
        <v>0.003</v>
      </c>
      <c r="K126" s="8" t="n">
        <v>0</v>
      </c>
      <c r="L126" s="8" t="n">
        <v>15</v>
      </c>
      <c r="M126" s="10" t="n">
        <v>0.003</v>
      </c>
      <c r="N126" s="8" t="n">
        <v>0</v>
      </c>
      <c r="O126" s="9" t="n">
        <v>3</v>
      </c>
      <c r="P126" s="10" t="n">
        <f aca="false">IF(AND(ISNUMBER(O126),ISNUMBER(D126),D126&gt;0),O126/D126,"")</f>
        <v>0.0260869565217391</v>
      </c>
      <c r="Q126" s="9" t="n">
        <v>7</v>
      </c>
      <c r="R126" s="9" t="n">
        <v>6</v>
      </c>
      <c r="S126" s="9" t="n">
        <v>53</v>
      </c>
      <c r="T126" s="11" t="n">
        <f aca="false">IF(AND(ISNUMBER(S126),ISNUMBER(D126),D126&gt;0),S126/D126,"")</f>
        <v>0.460869565217391</v>
      </c>
      <c r="U126" s="10" t="n">
        <v>0.087</v>
      </c>
      <c r="V126" s="10" t="n">
        <v>0.09</v>
      </c>
      <c r="W126" s="10" t="n">
        <v>0.06</v>
      </c>
      <c r="X126" s="10" t="n">
        <v>0.045</v>
      </c>
      <c r="Y126" s="8" t="n">
        <v>0</v>
      </c>
      <c r="Z126" s="8" t="s">
        <v>74</v>
      </c>
      <c r="AA126" s="8" t="n">
        <v>11</v>
      </c>
      <c r="AB126" s="8" t="n">
        <v>0</v>
      </c>
      <c r="AC126" s="11" t="n">
        <f aca="false">IF(AND(ISNUMBER(AA126),ISNUMBER(D126),D126&gt;0),AA126/D126*100,"")</f>
        <v>9.56521739130435</v>
      </c>
      <c r="AD126" s="12" t="n">
        <v>1250</v>
      </c>
      <c r="AE126" s="8" t="s">
        <v>74</v>
      </c>
      <c r="AF126" s="8" t="s">
        <v>77</v>
      </c>
      <c r="AG126" s="12" t="n">
        <v>278.8</v>
      </c>
      <c r="AH126" s="12" t="n">
        <v>295.66</v>
      </c>
      <c r="AI126" s="12" t="n">
        <v>336.35</v>
      </c>
      <c r="AJ126" s="12" t="n">
        <v>374.33</v>
      </c>
      <c r="AK126" s="8" t="n">
        <v>18</v>
      </c>
      <c r="AL126" s="10" t="n">
        <v>0.5</v>
      </c>
      <c r="AM126" s="8" t="s">
        <v>77</v>
      </c>
      <c r="AN126" s="12"/>
      <c r="AO126" s="8" t="s">
        <v>77</v>
      </c>
      <c r="AP126" s="8" t="s">
        <v>74</v>
      </c>
      <c r="AQ126" s="10" t="n">
        <v>0.8</v>
      </c>
      <c r="AR126" s="8" t="n">
        <v>2</v>
      </c>
      <c r="AS126" s="8" t="n">
        <v>1</v>
      </c>
      <c r="AT126" s="8" t="n">
        <v>0</v>
      </c>
      <c r="AU126" s="8" t="n">
        <v>1</v>
      </c>
      <c r="AV126" s="8" t="n">
        <v>2</v>
      </c>
      <c r="AW126" s="8" t="n">
        <v>2</v>
      </c>
      <c r="AX126" s="8" t="n">
        <v>2</v>
      </c>
      <c r="AY126" s="8" t="n">
        <v>1</v>
      </c>
      <c r="AZ126" s="8" t="n">
        <v>2</v>
      </c>
      <c r="BA126" s="8" t="n">
        <v>2</v>
      </c>
      <c r="BB126" s="8" t="n">
        <v>1</v>
      </c>
      <c r="BC126" s="8" t="n">
        <v>3</v>
      </c>
      <c r="BD126" s="8" t="n">
        <v>1</v>
      </c>
      <c r="BE126" s="8" t="n">
        <v>1</v>
      </c>
      <c r="BF126" s="8" t="n">
        <v>1</v>
      </c>
      <c r="BG126" s="8" t="n">
        <v>1</v>
      </c>
      <c r="BH126" s="8" t="n">
        <v>4</v>
      </c>
      <c r="BI126" s="8" t="n">
        <v>1</v>
      </c>
      <c r="BJ126" s="9" t="n">
        <v>5</v>
      </c>
      <c r="BK126" s="9" t="n">
        <v>0</v>
      </c>
      <c r="BL126" s="9" t="n">
        <v>0</v>
      </c>
      <c r="BM126" s="9" t="n">
        <v>1</v>
      </c>
      <c r="BN126" s="10" t="n">
        <v>0</v>
      </c>
      <c r="BO126" s="10" t="n">
        <v>0</v>
      </c>
      <c r="BP126" s="10" t="n">
        <f aca="false">IF(AND(ISNUMBER(BN126),ISNUMBER(BO126)),BN126+BO126,"")</f>
        <v>0</v>
      </c>
      <c r="BQ126" s="10" t="n">
        <v>0.3</v>
      </c>
      <c r="BR126" s="10" t="n">
        <v>0.4</v>
      </c>
      <c r="BS126" s="10" t="n">
        <v>0.3</v>
      </c>
    </row>
    <row r="127" customFormat="false" ht="15" hidden="false" customHeight="false" outlineLevel="0" collapsed="false">
      <c r="A127" s="8" t="s">
        <v>82</v>
      </c>
      <c r="B127" s="8" t="s">
        <v>121</v>
      </c>
      <c r="C127" s="8" t="n">
        <v>4</v>
      </c>
      <c r="D127" s="9" t="n">
        <v>207</v>
      </c>
      <c r="E127" s="9" t="n">
        <v>143</v>
      </c>
      <c r="F127" s="8" t="s">
        <v>76</v>
      </c>
      <c r="G127" s="8" t="s">
        <v>74</v>
      </c>
      <c r="H127" s="10" t="n">
        <v>0</v>
      </c>
      <c r="I127" s="10" t="n">
        <v>0.055</v>
      </c>
      <c r="J127" s="10" t="n">
        <v>0.043</v>
      </c>
      <c r="K127" s="8" t="n">
        <v>0</v>
      </c>
      <c r="L127" s="8" t="n">
        <v>15</v>
      </c>
      <c r="M127" s="10" t="n">
        <v>0.15</v>
      </c>
      <c r="N127" s="8" t="n">
        <v>1</v>
      </c>
      <c r="O127" s="9" t="n">
        <v>18</v>
      </c>
      <c r="P127" s="10" t="n">
        <f aca="false">IF(AND(ISNUMBER(O127),ISNUMBER(D127),D127&gt;0),O127/D127,"")</f>
        <v>0.0869565217391304</v>
      </c>
      <c r="Q127" s="9" t="n">
        <v>8</v>
      </c>
      <c r="R127" s="9" t="n">
        <v>5</v>
      </c>
      <c r="S127" s="9" t="n">
        <v>238</v>
      </c>
      <c r="T127" s="11" t="n">
        <f aca="false">IF(AND(ISNUMBER(S127),ISNUMBER(D127),D127&gt;0),S127/D127,"")</f>
        <v>1.14975845410628</v>
      </c>
      <c r="U127" s="10" t="n">
        <v>0.12</v>
      </c>
      <c r="V127" s="10" t="n">
        <v>0.12</v>
      </c>
      <c r="W127" s="10" t="n">
        <v>0.1</v>
      </c>
      <c r="X127" s="10" t="n">
        <v>0.02</v>
      </c>
      <c r="Y127" s="8" t="n">
        <v>0</v>
      </c>
      <c r="Z127" s="8" t="s">
        <v>74</v>
      </c>
      <c r="AA127" s="8" t="n">
        <v>5</v>
      </c>
      <c r="AB127" s="8" t="n">
        <v>0</v>
      </c>
      <c r="AC127" s="11" t="n">
        <f aca="false">IF(AND(ISNUMBER(AA127),ISNUMBER(D127),D127&gt;0),AA127/D127*100,"")</f>
        <v>2.41545893719807</v>
      </c>
      <c r="AD127" s="12" t="n">
        <v>858.8</v>
      </c>
      <c r="AE127" s="8" t="s">
        <v>74</v>
      </c>
      <c r="AF127" s="8" t="s">
        <v>77</v>
      </c>
      <c r="AG127" s="12" t="n">
        <v>320.8</v>
      </c>
      <c r="AH127" s="12" t="n">
        <v>350.96</v>
      </c>
      <c r="AI127" s="12" t="n">
        <v>391.2</v>
      </c>
      <c r="AJ127" s="12" t="n">
        <v>426.76</v>
      </c>
      <c r="AK127" s="8" t="n">
        <v>15</v>
      </c>
      <c r="AL127" s="10" t="n">
        <v>0.25</v>
      </c>
      <c r="AM127" s="8" t="s">
        <v>74</v>
      </c>
      <c r="AN127" s="12" t="n">
        <v>75</v>
      </c>
      <c r="AO127" s="8" t="s">
        <v>74</v>
      </c>
      <c r="AP127" s="8" t="s">
        <v>74</v>
      </c>
      <c r="AQ127" s="10" t="n">
        <v>0.7</v>
      </c>
      <c r="AR127" s="8" t="n">
        <v>3</v>
      </c>
      <c r="AS127" s="8" t="n">
        <v>2</v>
      </c>
      <c r="AT127" s="8" t="n">
        <v>1</v>
      </c>
      <c r="AU127" s="8" t="n">
        <v>0</v>
      </c>
      <c r="AV127" s="8" t="n">
        <v>3</v>
      </c>
      <c r="AW127" s="8" t="n">
        <v>4</v>
      </c>
      <c r="AX127" s="8" t="n">
        <v>2</v>
      </c>
      <c r="AY127" s="8" t="n">
        <v>1</v>
      </c>
      <c r="AZ127" s="8" t="n">
        <v>4</v>
      </c>
      <c r="BA127" s="8" t="n">
        <v>2</v>
      </c>
      <c r="BB127" s="8" t="n">
        <v>1</v>
      </c>
      <c r="BC127" s="8" t="n">
        <v>2</v>
      </c>
      <c r="BD127" s="8" t="n">
        <v>1</v>
      </c>
      <c r="BE127" s="8" t="n">
        <v>3</v>
      </c>
      <c r="BF127" s="8" t="n">
        <v>1</v>
      </c>
      <c r="BG127" s="8" t="n">
        <v>0</v>
      </c>
      <c r="BH127" s="8" t="n">
        <v>3</v>
      </c>
      <c r="BI127" s="8" t="n">
        <v>3</v>
      </c>
      <c r="BJ127" s="9" t="n">
        <v>7</v>
      </c>
      <c r="BK127" s="9"/>
      <c r="BL127" s="9" t="n">
        <v>12</v>
      </c>
      <c r="BM127" s="9" t="n">
        <v>5</v>
      </c>
      <c r="BN127" s="10" t="n">
        <v>0</v>
      </c>
      <c r="BO127" s="10" t="n">
        <v>0.5</v>
      </c>
      <c r="BP127" s="10" t="n">
        <f aca="false">IF(AND(ISNUMBER(BN127),ISNUMBER(BO127)),BN127+BO127,"")</f>
        <v>0.5</v>
      </c>
      <c r="BQ127" s="10" t="n">
        <v>0.3</v>
      </c>
      <c r="BR127" s="10" t="n">
        <v>0.1</v>
      </c>
      <c r="BS127" s="10" t="n">
        <v>0.1</v>
      </c>
    </row>
    <row r="128" customFormat="false" ht="15" hidden="false" customHeight="false" outlineLevel="0" collapsed="false">
      <c r="A128" s="8" t="s">
        <v>83</v>
      </c>
      <c r="B128" s="8" t="s">
        <v>121</v>
      </c>
      <c r="C128" s="8" t="n">
        <v>4</v>
      </c>
      <c r="D128" s="9" t="n">
        <v>1346</v>
      </c>
      <c r="E128" s="9" t="n">
        <v>980</v>
      </c>
      <c r="F128" s="8" t="s">
        <v>76</v>
      </c>
      <c r="G128" s="8" t="s">
        <v>74</v>
      </c>
      <c r="H128" s="10" t="n">
        <v>0.8</v>
      </c>
      <c r="I128" s="10" t="n">
        <v>0.017</v>
      </c>
      <c r="J128" s="10" t="n">
        <v>0.021</v>
      </c>
      <c r="K128" s="8" t="n">
        <v>0</v>
      </c>
      <c r="L128" s="8" t="n">
        <v>30</v>
      </c>
      <c r="M128" s="10" t="n">
        <v>0.009</v>
      </c>
      <c r="N128" s="8" t="n">
        <v>0</v>
      </c>
      <c r="O128" s="9" t="n">
        <v>56</v>
      </c>
      <c r="P128" s="10" t="n">
        <f aca="false">IF(AND(ISNUMBER(O128),ISNUMBER(D128),D128&gt;0),O128/D128,"")</f>
        <v>0.0416047548291233</v>
      </c>
      <c r="Q128" s="9" t="n">
        <v>1</v>
      </c>
      <c r="R128" s="9" t="n">
        <v>1</v>
      </c>
      <c r="S128" s="9" t="n">
        <v>577</v>
      </c>
      <c r="T128" s="11" t="n">
        <f aca="false">IF(AND(ISNUMBER(S128),ISNUMBER(D128),D128&gt;0),S128/D128,"")</f>
        <v>0.428677563150074</v>
      </c>
      <c r="U128" s="10" t="n">
        <v>0.09</v>
      </c>
      <c r="V128" s="10" t="n">
        <v>0.06</v>
      </c>
      <c r="W128" s="10" t="n">
        <v>0.11</v>
      </c>
      <c r="X128" s="10" t="n">
        <v>0.03</v>
      </c>
      <c r="Y128" s="8" t="n">
        <v>0</v>
      </c>
      <c r="Z128" s="8" t="s">
        <v>74</v>
      </c>
      <c r="AA128" s="8" t="n">
        <v>15</v>
      </c>
      <c r="AB128" s="8" t="n">
        <v>0</v>
      </c>
      <c r="AC128" s="11" t="n">
        <f aca="false">IF(AND(ISNUMBER(AA128),ISNUMBER(D128),D128&gt;0),AA128/D128*100,"")</f>
        <v>1.11441307578009</v>
      </c>
      <c r="AD128" s="12" t="n">
        <v>2000</v>
      </c>
      <c r="AE128" s="8" t="s">
        <v>74</v>
      </c>
      <c r="AF128" s="8" t="s">
        <v>74</v>
      </c>
      <c r="AG128" s="12" t="n">
        <v>299.6</v>
      </c>
      <c r="AH128" s="12" t="n">
        <v>346.5</v>
      </c>
      <c r="AI128" s="12" t="n">
        <v>446.8</v>
      </c>
      <c r="AJ128" s="12" t="n">
        <v>584.9</v>
      </c>
      <c r="AK128" s="8" t="n">
        <v>32</v>
      </c>
      <c r="AL128" s="10" t="n">
        <v>0.85</v>
      </c>
      <c r="AM128" s="8" t="s">
        <v>74</v>
      </c>
      <c r="AN128" s="12" t="n">
        <v>13</v>
      </c>
      <c r="AO128" s="8" t="s">
        <v>77</v>
      </c>
      <c r="AP128" s="8" t="s">
        <v>74</v>
      </c>
      <c r="AQ128" s="10" t="n">
        <v>0.64</v>
      </c>
      <c r="AR128" s="8" t="n">
        <v>3</v>
      </c>
      <c r="AS128" s="8" t="n">
        <v>2</v>
      </c>
      <c r="AT128" s="8" t="n">
        <v>1</v>
      </c>
      <c r="AU128" s="8" t="n">
        <v>1</v>
      </c>
      <c r="AV128" s="8" t="n">
        <v>3</v>
      </c>
      <c r="AW128" s="8" t="n">
        <v>1</v>
      </c>
      <c r="AX128" s="8" t="n">
        <v>1</v>
      </c>
      <c r="AY128" s="8" t="n">
        <v>1</v>
      </c>
      <c r="AZ128" s="8" t="n">
        <v>2</v>
      </c>
      <c r="BA128" s="8"/>
      <c r="BB128" s="8" t="n">
        <v>1</v>
      </c>
      <c r="BC128" s="8" t="n">
        <v>1</v>
      </c>
      <c r="BD128" s="8" t="n">
        <v>1</v>
      </c>
      <c r="BE128" s="8" t="n">
        <v>0</v>
      </c>
      <c r="BF128" s="8" t="n">
        <v>2</v>
      </c>
      <c r="BG128" s="8" t="n">
        <v>1</v>
      </c>
      <c r="BH128" s="8" t="n">
        <v>2</v>
      </c>
      <c r="BI128" s="8" t="n">
        <v>3</v>
      </c>
      <c r="BJ128" s="9" t="n">
        <v>19</v>
      </c>
      <c r="BK128" s="9" t="n">
        <v>4</v>
      </c>
      <c r="BL128" s="9" t="n">
        <v>11</v>
      </c>
      <c r="BM128" s="9" t="n">
        <v>7</v>
      </c>
      <c r="BN128" s="10" t="n">
        <v>0</v>
      </c>
      <c r="BO128" s="10" t="n">
        <v>0</v>
      </c>
      <c r="BP128" s="10" t="n">
        <f aca="false">IF(AND(ISNUMBER(BN128),ISNUMBER(BO128)),BN128+BO128,"")</f>
        <v>0</v>
      </c>
      <c r="BQ128" s="10" t="n">
        <v>0.1</v>
      </c>
      <c r="BR128" s="10" t="n">
        <v>0.7</v>
      </c>
      <c r="BS128" s="10" t="n">
        <v>0.2</v>
      </c>
    </row>
    <row r="129" customFormat="false" ht="15" hidden="false" customHeight="false" outlineLevel="0" collapsed="false">
      <c r="A129" s="8" t="s">
        <v>84</v>
      </c>
      <c r="B129" s="8" t="s">
        <v>121</v>
      </c>
      <c r="C129" s="8" t="n">
        <v>4</v>
      </c>
      <c r="D129" s="9" t="n">
        <v>207</v>
      </c>
      <c r="E129" s="9" t="n">
        <v>502</v>
      </c>
      <c r="F129" s="8" t="s">
        <v>76</v>
      </c>
      <c r="G129" s="8" t="s">
        <v>74</v>
      </c>
      <c r="H129" s="10" t="n">
        <v>0.7</v>
      </c>
      <c r="I129" s="10" t="n">
        <v>0.018</v>
      </c>
      <c r="J129" s="10" t="n">
        <v>0.027</v>
      </c>
      <c r="K129" s="8" t="n">
        <v>0</v>
      </c>
      <c r="L129" s="8" t="n">
        <v>45</v>
      </c>
      <c r="M129" s="10" t="n">
        <v>0.001</v>
      </c>
      <c r="N129" s="8" t="n">
        <v>0</v>
      </c>
      <c r="O129" s="9" t="n">
        <v>3</v>
      </c>
      <c r="P129" s="10" t="n">
        <f aca="false">IF(AND(ISNUMBER(O129),ISNUMBER(D129),D129&gt;0),O129/D129,"")</f>
        <v>0.0144927536231884</v>
      </c>
      <c r="Q129" s="9" t="n">
        <v>19</v>
      </c>
      <c r="R129" s="9" t="n">
        <v>10</v>
      </c>
      <c r="S129" s="9" t="n">
        <v>615</v>
      </c>
      <c r="T129" s="11" t="n">
        <f aca="false">IF(AND(ISNUMBER(S129),ISNUMBER(D129),D129&gt;0),S129/D129,"")</f>
        <v>2.97101449275362</v>
      </c>
      <c r="U129" s="10" t="n">
        <v>0.063</v>
      </c>
      <c r="V129" s="10" t="n">
        <v>0.06</v>
      </c>
      <c r="W129" s="10" t="n">
        <v>0.06</v>
      </c>
      <c r="X129" s="10" t="n">
        <v>0.04</v>
      </c>
      <c r="Y129" s="8" t="n">
        <v>0</v>
      </c>
      <c r="Z129" s="8" t="s">
        <v>74</v>
      </c>
      <c r="AA129" s="8" t="n">
        <v>20</v>
      </c>
      <c r="AB129" s="8" t="n">
        <v>0</v>
      </c>
      <c r="AC129" s="11" t="n">
        <f aca="false">IF(AND(ISNUMBER(AA129),ISNUMBER(D129),D129&gt;0),AA129/D129*100,"")</f>
        <v>9.66183574879227</v>
      </c>
      <c r="AD129" s="12" t="n">
        <v>1500</v>
      </c>
      <c r="AE129" s="8" t="s">
        <v>74</v>
      </c>
      <c r="AF129" s="8" t="s">
        <v>77</v>
      </c>
      <c r="AG129" s="12" t="n">
        <v>283</v>
      </c>
      <c r="AH129" s="12" t="n">
        <v>326</v>
      </c>
      <c r="AI129" s="12" t="n">
        <v>356</v>
      </c>
      <c r="AJ129" s="12" t="n">
        <v>388</v>
      </c>
      <c r="AK129" s="8" t="n">
        <v>18</v>
      </c>
      <c r="AL129" s="10" t="n">
        <v>0.25</v>
      </c>
      <c r="AM129" s="8" t="s">
        <v>74</v>
      </c>
      <c r="AN129" s="12" t="n">
        <v>70</v>
      </c>
      <c r="AO129" s="8" t="s">
        <v>74</v>
      </c>
      <c r="AP129" s="8"/>
      <c r="AQ129" s="10" t="n">
        <v>0.95</v>
      </c>
      <c r="AR129" s="8" t="n">
        <v>4</v>
      </c>
      <c r="AS129" s="8" t="n">
        <v>1</v>
      </c>
      <c r="AT129" s="8" t="n">
        <v>1</v>
      </c>
      <c r="AU129" s="8" t="n">
        <v>1</v>
      </c>
      <c r="AV129" s="8" t="n">
        <v>1</v>
      </c>
      <c r="AW129" s="8" t="n">
        <v>4</v>
      </c>
      <c r="AX129" s="8" t="n">
        <v>2</v>
      </c>
      <c r="AY129" s="8" t="n">
        <v>1</v>
      </c>
      <c r="AZ129" s="8" t="n">
        <v>3</v>
      </c>
      <c r="BA129" s="8" t="n">
        <v>4</v>
      </c>
      <c r="BB129" s="8" t="n">
        <v>4</v>
      </c>
      <c r="BC129" s="8" t="n">
        <v>5</v>
      </c>
      <c r="BD129" s="8" t="n">
        <v>1</v>
      </c>
      <c r="BE129" s="8" t="n">
        <v>3</v>
      </c>
      <c r="BF129" s="8" t="n">
        <v>3</v>
      </c>
      <c r="BG129" s="8" t="n">
        <v>1</v>
      </c>
      <c r="BH129" s="8" t="n">
        <v>4</v>
      </c>
      <c r="BI129" s="8" t="n">
        <v>5</v>
      </c>
      <c r="BJ129" s="9" t="n">
        <v>9</v>
      </c>
      <c r="BK129" s="9" t="n">
        <v>2</v>
      </c>
      <c r="BL129" s="9" t="n">
        <v>0</v>
      </c>
      <c r="BM129" s="9" t="n">
        <v>0</v>
      </c>
      <c r="BN129" s="10" t="n">
        <v>0.3</v>
      </c>
      <c r="BO129" s="10" t="n">
        <v>0</v>
      </c>
      <c r="BP129" s="10" t="n">
        <f aca="false">IF(AND(ISNUMBER(BN129),ISNUMBER(BO129)),BN129+BO129,"")</f>
        <v>0.3</v>
      </c>
      <c r="BQ129" s="10" t="n">
        <v>0</v>
      </c>
      <c r="BR129" s="10" t="n">
        <v>0.6</v>
      </c>
      <c r="BS129" s="10" t="n">
        <v>0.1</v>
      </c>
    </row>
    <row r="130" customFormat="false" ht="15" hidden="false" customHeight="false" outlineLevel="0" collapsed="false">
      <c r="A130" s="8" t="s">
        <v>85</v>
      </c>
      <c r="B130" s="8" t="s">
        <v>121</v>
      </c>
      <c r="C130" s="8" t="n">
        <v>4</v>
      </c>
      <c r="D130" s="9" t="n">
        <v>201</v>
      </c>
      <c r="E130" s="9" t="n">
        <v>90</v>
      </c>
      <c r="F130" s="8" t="s">
        <v>81</v>
      </c>
      <c r="G130" s="8" t="s">
        <v>74</v>
      </c>
      <c r="H130" s="10"/>
      <c r="I130" s="10" t="n">
        <v>0.032</v>
      </c>
      <c r="J130" s="10" t="n">
        <v>0.004</v>
      </c>
      <c r="K130" s="8" t="n">
        <v>0</v>
      </c>
      <c r="L130" s="8" t="n">
        <v>5</v>
      </c>
      <c r="M130" s="10" t="n">
        <v>0.02</v>
      </c>
      <c r="N130" s="8" t="n">
        <v>0</v>
      </c>
      <c r="O130" s="9" t="n">
        <v>8</v>
      </c>
      <c r="P130" s="10" t="n">
        <f aca="false">IF(AND(ISNUMBER(O130),ISNUMBER(D130),D130&gt;0),O130/D130,"")</f>
        <v>0.0398009950248756</v>
      </c>
      <c r="Q130" s="9" t="n">
        <v>9</v>
      </c>
      <c r="R130" s="9" t="n">
        <v>9</v>
      </c>
      <c r="S130" s="9" t="n">
        <v>40</v>
      </c>
      <c r="T130" s="11" t="n">
        <f aca="false">IF(AND(ISNUMBER(S130),ISNUMBER(D130),D130&gt;0),S130/D130,"")</f>
        <v>0.199004975124378</v>
      </c>
      <c r="U130" s="10" t="n">
        <v>0.065</v>
      </c>
      <c r="V130" s="10" t="n">
        <v>0.1</v>
      </c>
      <c r="W130" s="10"/>
      <c r="X130" s="10" t="n">
        <v>0.075</v>
      </c>
      <c r="Y130" s="8" t="n">
        <v>0</v>
      </c>
      <c r="Z130" s="8" t="s">
        <v>74</v>
      </c>
      <c r="AA130" s="8" t="n">
        <v>6</v>
      </c>
      <c r="AB130" s="8" t="n">
        <v>0</v>
      </c>
      <c r="AC130" s="11" t="n">
        <f aca="false">IF(AND(ISNUMBER(AA130),ISNUMBER(D130),D130&gt;0),AA130/D130*100,"")</f>
        <v>2.98507462686567</v>
      </c>
      <c r="AD130" s="12" t="n">
        <v>2528</v>
      </c>
      <c r="AE130" s="8" t="s">
        <v>74</v>
      </c>
      <c r="AF130" s="8" t="s">
        <v>74</v>
      </c>
      <c r="AG130" s="12" t="n">
        <v>367</v>
      </c>
      <c r="AH130" s="12" t="n">
        <v>459</v>
      </c>
      <c r="AI130" s="12" t="n">
        <v>507</v>
      </c>
      <c r="AJ130" s="12" t="n">
        <v>705</v>
      </c>
      <c r="AK130" s="8" t="n">
        <v>33</v>
      </c>
      <c r="AL130" s="10" t="n">
        <v>1</v>
      </c>
      <c r="AM130" s="8" t="s">
        <v>74</v>
      </c>
      <c r="AN130" s="12" t="n">
        <v>21</v>
      </c>
      <c r="AO130" s="8" t="s">
        <v>77</v>
      </c>
      <c r="AP130" s="8" t="s">
        <v>74</v>
      </c>
      <c r="AQ130" s="10" t="n">
        <v>0.7</v>
      </c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9" t="n">
        <v>1</v>
      </c>
      <c r="BK130" s="9" t="n">
        <v>3</v>
      </c>
      <c r="BL130" s="9" t="n">
        <v>1</v>
      </c>
      <c r="BM130" s="9" t="n">
        <v>2</v>
      </c>
      <c r="BN130" s="10" t="n">
        <v>0.4</v>
      </c>
      <c r="BO130" s="10" t="n">
        <v>0.2</v>
      </c>
      <c r="BP130" s="10" t="n">
        <f aca="false">IF(AND(ISNUMBER(BN130),ISNUMBER(BO130)),BN130+BO130,"")</f>
        <v>0.6</v>
      </c>
      <c r="BQ130" s="10" t="n">
        <v>0</v>
      </c>
      <c r="BR130" s="10" t="n">
        <v>0.1</v>
      </c>
      <c r="BS130" s="10" t="n">
        <v>0.3</v>
      </c>
    </row>
    <row r="131" customFormat="false" ht="15" hidden="false" customHeight="false" outlineLevel="0" collapsed="false">
      <c r="A131" s="8" t="s">
        <v>86</v>
      </c>
      <c r="B131" s="8" t="s">
        <v>121</v>
      </c>
      <c r="C131" s="8" t="n">
        <v>4</v>
      </c>
      <c r="D131" s="9" t="n">
        <v>308</v>
      </c>
      <c r="E131" s="9" t="n">
        <v>76</v>
      </c>
      <c r="F131" s="8" t="s">
        <v>76</v>
      </c>
      <c r="G131" s="8" t="s">
        <v>77</v>
      </c>
      <c r="H131" s="10"/>
      <c r="I131" s="10" t="n">
        <v>0.033</v>
      </c>
      <c r="J131" s="10" t="n">
        <v>0.021</v>
      </c>
      <c r="K131" s="8" t="n">
        <v>0</v>
      </c>
      <c r="L131" s="8" t="n">
        <v>15</v>
      </c>
      <c r="M131" s="10" t="n">
        <v>0.025</v>
      </c>
      <c r="N131" s="8" t="n">
        <v>0</v>
      </c>
      <c r="O131" s="9" t="n">
        <v>103</v>
      </c>
      <c r="P131" s="10" t="n">
        <f aca="false">IF(AND(ISNUMBER(O131),ISNUMBER(D131),D131&gt;0),O131/D131,"")</f>
        <v>0.334415584415584</v>
      </c>
      <c r="Q131" s="9" t="n">
        <v>88</v>
      </c>
      <c r="R131" s="9" t="n">
        <v>86</v>
      </c>
      <c r="S131" s="9" t="n">
        <v>55</v>
      </c>
      <c r="T131" s="11" t="n">
        <f aca="false">IF(AND(ISNUMBER(S131),ISNUMBER(D131),D131&gt;0),S131/D131,"")</f>
        <v>0.178571428571429</v>
      </c>
      <c r="U131" s="10" t="n">
        <v>0.05</v>
      </c>
      <c r="V131" s="10"/>
      <c r="W131" s="10"/>
      <c r="X131" s="10" t="n">
        <v>0.1</v>
      </c>
      <c r="Y131" s="8" t="n">
        <v>0</v>
      </c>
      <c r="Z131" s="8" t="s">
        <v>74</v>
      </c>
      <c r="AA131" s="8" t="n">
        <v>5</v>
      </c>
      <c r="AB131" s="8" t="n">
        <v>0</v>
      </c>
      <c r="AC131" s="11" t="n">
        <f aca="false">IF(AND(ISNUMBER(AA131),ISNUMBER(D131),D131&gt;0),AA131/D131*100,"")</f>
        <v>1.62337662337662</v>
      </c>
      <c r="AD131" s="12" t="n">
        <v>270</v>
      </c>
      <c r="AE131" s="8" t="s">
        <v>77</v>
      </c>
      <c r="AF131" s="8" t="s">
        <v>77</v>
      </c>
      <c r="AG131" s="12" t="n">
        <v>288</v>
      </c>
      <c r="AH131" s="12" t="n">
        <v>288</v>
      </c>
      <c r="AI131" s="12" t="n">
        <v>305</v>
      </c>
      <c r="AJ131" s="12" t="n">
        <v>320</v>
      </c>
      <c r="AK131" s="8" t="n">
        <v>20</v>
      </c>
      <c r="AL131" s="10" t="n">
        <v>0.25</v>
      </c>
      <c r="AM131" s="8" t="s">
        <v>74</v>
      </c>
      <c r="AN131" s="12" t="n">
        <v>33</v>
      </c>
      <c r="AO131" s="8" t="s">
        <v>77</v>
      </c>
      <c r="AP131" s="8" t="s">
        <v>77</v>
      </c>
      <c r="AQ131" s="10" t="n">
        <v>0.9</v>
      </c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9" t="n">
        <v>20</v>
      </c>
      <c r="BK131" s="9" t="n">
        <v>60</v>
      </c>
      <c r="BL131" s="9" t="n">
        <v>25</v>
      </c>
      <c r="BM131" s="9" t="n">
        <v>0</v>
      </c>
      <c r="BN131" s="10" t="n">
        <v>0</v>
      </c>
      <c r="BO131" s="10" t="n">
        <v>1</v>
      </c>
      <c r="BP131" s="10" t="n">
        <f aca="false">IF(AND(ISNUMBER(BN131),ISNUMBER(BO131)),BN131+BO131,"")</f>
        <v>1</v>
      </c>
      <c r="BQ131" s="10" t="n">
        <v>0</v>
      </c>
      <c r="BR131" s="10" t="n">
        <v>0</v>
      </c>
      <c r="BS131" s="10" t="n">
        <v>0</v>
      </c>
    </row>
    <row r="132" customFormat="false" ht="15" hidden="false" customHeight="false" outlineLevel="0" collapsed="false">
      <c r="A132" s="8" t="s">
        <v>87</v>
      </c>
      <c r="B132" s="8" t="s">
        <v>121</v>
      </c>
      <c r="C132" s="8" t="n">
        <v>4</v>
      </c>
      <c r="D132" s="9" t="n">
        <v>186</v>
      </c>
      <c r="E132" s="9" t="n">
        <v>87</v>
      </c>
      <c r="F132" s="8" t="s">
        <v>76</v>
      </c>
      <c r="G132" s="8" t="s">
        <v>74</v>
      </c>
      <c r="H132" s="10" t="n">
        <v>0.3</v>
      </c>
      <c r="I132" s="10" t="n">
        <v>0.05</v>
      </c>
      <c r="J132" s="10" t="n">
        <v>0.017</v>
      </c>
      <c r="K132" s="8" t="n">
        <v>0</v>
      </c>
      <c r="L132" s="8" t="n">
        <v>10</v>
      </c>
      <c r="M132" s="10" t="n">
        <v>0.03</v>
      </c>
      <c r="N132" s="8" t="n">
        <v>0</v>
      </c>
      <c r="O132" s="9" t="n">
        <v>20</v>
      </c>
      <c r="P132" s="10" t="n">
        <f aca="false">IF(AND(ISNUMBER(O132),ISNUMBER(D132),D132&gt;0),O132/D132,"")</f>
        <v>0.10752688172043</v>
      </c>
      <c r="Q132" s="9" t="n">
        <v>30</v>
      </c>
      <c r="R132" s="9" t="n">
        <v>30</v>
      </c>
      <c r="S132" s="9" t="n">
        <v>131</v>
      </c>
      <c r="T132" s="11" t="n">
        <f aca="false">IF(AND(ISNUMBER(S132),ISNUMBER(D132),D132&gt;0),S132/D132,"")</f>
        <v>0.704301075268817</v>
      </c>
      <c r="U132" s="10" t="n">
        <v>0.05</v>
      </c>
      <c r="V132" s="10"/>
      <c r="W132" s="10"/>
      <c r="X132" s="10" t="n">
        <v>0.1</v>
      </c>
      <c r="Y132" s="8" t="n">
        <v>0</v>
      </c>
      <c r="Z132" s="8" t="s">
        <v>74</v>
      </c>
      <c r="AA132" s="8" t="n">
        <v>30</v>
      </c>
      <c r="AB132" s="8" t="n">
        <v>0</v>
      </c>
      <c r="AC132" s="11" t="n">
        <f aca="false">IF(AND(ISNUMBER(AA132),ISNUMBER(D132),D132&gt;0),AA132/D132*100,"")</f>
        <v>16.1290322580645</v>
      </c>
      <c r="AD132" s="12" t="n">
        <v>95</v>
      </c>
      <c r="AE132" s="8" t="s">
        <v>74</v>
      </c>
      <c r="AF132" s="8" t="s">
        <v>74</v>
      </c>
      <c r="AG132" s="12" t="n">
        <v>278.8</v>
      </c>
      <c r="AH132" s="12" t="n">
        <v>348</v>
      </c>
      <c r="AI132" s="12" t="n">
        <v>441.72</v>
      </c>
      <c r="AJ132" s="12" t="n">
        <v>441.72</v>
      </c>
      <c r="AK132" s="8" t="n">
        <v>15</v>
      </c>
      <c r="AL132" s="10" t="n">
        <v>0.25</v>
      </c>
      <c r="AM132" s="8" t="s">
        <v>77</v>
      </c>
      <c r="AN132" s="12"/>
      <c r="AO132" s="8" t="s">
        <v>77</v>
      </c>
      <c r="AP132" s="8" t="s">
        <v>74</v>
      </c>
      <c r="AQ132" s="10" t="n">
        <v>0.85</v>
      </c>
      <c r="AR132" s="8" t="n">
        <v>4</v>
      </c>
      <c r="AS132" s="8" t="n">
        <v>3</v>
      </c>
      <c r="AT132" s="8" t="n">
        <v>2</v>
      </c>
      <c r="AU132" s="8" t="n">
        <v>2</v>
      </c>
      <c r="AV132" s="8" t="n">
        <v>2</v>
      </c>
      <c r="AW132" s="8" t="n">
        <v>0</v>
      </c>
      <c r="AX132" s="8" t="n">
        <v>1</v>
      </c>
      <c r="AY132" s="8" t="n">
        <v>3</v>
      </c>
      <c r="AZ132" s="8" t="n">
        <v>1</v>
      </c>
      <c r="BA132" s="8" t="n">
        <v>2</v>
      </c>
      <c r="BB132" s="8" t="n">
        <v>3</v>
      </c>
      <c r="BC132" s="8" t="n">
        <v>3</v>
      </c>
      <c r="BD132" s="8" t="n">
        <v>0</v>
      </c>
      <c r="BE132" s="8" t="n">
        <v>0</v>
      </c>
      <c r="BF132" s="8" t="n">
        <v>1</v>
      </c>
      <c r="BG132" s="8" t="n">
        <v>0</v>
      </c>
      <c r="BH132" s="8" t="n">
        <v>1</v>
      </c>
      <c r="BI132" s="8" t="n">
        <v>2</v>
      </c>
      <c r="BJ132" s="9" t="n">
        <v>18</v>
      </c>
      <c r="BK132" s="9" t="n">
        <v>6</v>
      </c>
      <c r="BL132" s="9" t="n">
        <v>3</v>
      </c>
      <c r="BM132" s="9" t="n">
        <v>3</v>
      </c>
      <c r="BN132" s="10" t="n">
        <v>0</v>
      </c>
      <c r="BO132" s="10" t="n">
        <v>0.6</v>
      </c>
      <c r="BP132" s="10" t="n">
        <f aca="false">IF(AND(ISNUMBER(BN132),ISNUMBER(BO132)),BN132+BO132,"")</f>
        <v>0.6</v>
      </c>
      <c r="BQ132" s="10" t="n">
        <v>0.3</v>
      </c>
      <c r="BR132" s="10" t="n">
        <v>0</v>
      </c>
      <c r="BS132" s="10" t="n">
        <v>0.1</v>
      </c>
    </row>
    <row r="133" customFormat="false" ht="15" hidden="false" customHeight="false" outlineLevel="0" collapsed="false">
      <c r="A133" s="8" t="s">
        <v>88</v>
      </c>
      <c r="B133" s="8" t="s">
        <v>121</v>
      </c>
      <c r="C133" s="8" t="n">
        <v>4</v>
      </c>
      <c r="D133" s="9" t="n">
        <v>61</v>
      </c>
      <c r="E133" s="9" t="n">
        <v>40</v>
      </c>
      <c r="F133" s="8" t="s">
        <v>76</v>
      </c>
      <c r="G133" s="8" t="s">
        <v>77</v>
      </c>
      <c r="H133" s="10" t="n">
        <v>0.1</v>
      </c>
      <c r="I133" s="10" t="n">
        <v>0.048</v>
      </c>
      <c r="J133" s="10" t="n">
        <v>0.15</v>
      </c>
      <c r="K133" s="8" t="n">
        <v>1</v>
      </c>
      <c r="L133" s="8" t="n">
        <v>4</v>
      </c>
      <c r="M133" s="10" t="n">
        <v>0.003</v>
      </c>
      <c r="N133" s="8" t="n">
        <v>0</v>
      </c>
      <c r="O133" s="9" t="n">
        <v>11</v>
      </c>
      <c r="P133" s="10" t="n">
        <f aca="false">IF(AND(ISNUMBER(O133),ISNUMBER(D133),D133&gt;0),O133/D133,"")</f>
        <v>0.180327868852459</v>
      </c>
      <c r="Q133" s="9" t="n">
        <v>17</v>
      </c>
      <c r="R133" s="9" t="n">
        <v>16</v>
      </c>
      <c r="S133" s="9" t="n">
        <v>100</v>
      </c>
      <c r="T133" s="11" t="n">
        <f aca="false">IF(AND(ISNUMBER(S133),ISNUMBER(D133),D133&gt;0),S133/D133,"")</f>
        <v>1.63934426229508</v>
      </c>
      <c r="U133" s="10" t="n">
        <v>0.15</v>
      </c>
      <c r="V133" s="10" t="n">
        <v>0.1</v>
      </c>
      <c r="W133" s="10" t="n">
        <v>0.1</v>
      </c>
      <c r="X133" s="10" t="n">
        <v>0.1</v>
      </c>
      <c r="Y133" s="8" t="n">
        <v>0</v>
      </c>
      <c r="Z133" s="8" t="s">
        <v>77</v>
      </c>
      <c r="AA133" s="8" t="n">
        <v>0</v>
      </c>
      <c r="AB133" s="8" t="n">
        <v>0</v>
      </c>
      <c r="AC133" s="11" t="n">
        <f aca="false">IF(AND(ISNUMBER(AA133),ISNUMBER(D133),D133&gt;0),AA133/D133*100,"")</f>
        <v>0</v>
      </c>
      <c r="AD133" s="12"/>
      <c r="AE133" s="8" t="s">
        <v>74</v>
      </c>
      <c r="AF133" s="8" t="s">
        <v>74</v>
      </c>
      <c r="AG133" s="12" t="n">
        <v>280</v>
      </c>
      <c r="AH133" s="12" t="n">
        <v>300</v>
      </c>
      <c r="AI133" s="12" t="n">
        <v>325</v>
      </c>
      <c r="AJ133" s="12" t="n">
        <v>370</v>
      </c>
      <c r="AK133" s="8" t="n">
        <v>15</v>
      </c>
      <c r="AL133" s="10" t="n">
        <v>0.25</v>
      </c>
      <c r="AM133" s="8" t="s">
        <v>77</v>
      </c>
      <c r="AN133" s="12"/>
      <c r="AO133" s="8" t="s">
        <v>77</v>
      </c>
      <c r="AP133" s="8"/>
      <c r="AQ133" s="10"/>
      <c r="AR133" s="8" t="n">
        <v>5</v>
      </c>
      <c r="AS133" s="8" t="n">
        <v>4</v>
      </c>
      <c r="AT133" s="8" t="n">
        <v>3</v>
      </c>
      <c r="AU133" s="8" t="n">
        <v>5</v>
      </c>
      <c r="AV133" s="8" t="n">
        <v>2</v>
      </c>
      <c r="AW133" s="8" t="n">
        <v>1</v>
      </c>
      <c r="AX133" s="8" t="n">
        <v>1</v>
      </c>
      <c r="AY133" s="8" t="n">
        <v>2</v>
      </c>
      <c r="AZ133" s="8" t="n">
        <v>3</v>
      </c>
      <c r="BA133" s="8" t="n">
        <v>3</v>
      </c>
      <c r="BB133" s="8" t="n">
        <v>3</v>
      </c>
      <c r="BC133" s="8" t="n">
        <v>3</v>
      </c>
      <c r="BD133" s="8" t="n">
        <v>1</v>
      </c>
      <c r="BE133" s="8" t="n">
        <v>3</v>
      </c>
      <c r="BF133" s="8" t="n">
        <v>2</v>
      </c>
      <c r="BG133" s="8" t="n">
        <v>0</v>
      </c>
      <c r="BH133" s="8" t="n">
        <v>0</v>
      </c>
      <c r="BI133" s="8" t="n">
        <v>2</v>
      </c>
      <c r="BJ133" s="9" t="n">
        <v>11</v>
      </c>
      <c r="BK133" s="9"/>
      <c r="BL133" s="9" t="n">
        <v>1</v>
      </c>
      <c r="BM133" s="9"/>
      <c r="BN133" s="10" t="n">
        <v>0</v>
      </c>
      <c r="BO133" s="10" t="n">
        <v>0</v>
      </c>
      <c r="BP133" s="10" t="n">
        <f aca="false">IF(AND(ISNUMBER(BN133),ISNUMBER(BO133)),BN133+BO133,"")</f>
        <v>0</v>
      </c>
      <c r="BQ133" s="10" t="n">
        <v>0.9</v>
      </c>
      <c r="BR133" s="10" t="n">
        <v>0.1</v>
      </c>
      <c r="BS133" s="10" t="n">
        <v>0</v>
      </c>
    </row>
    <row r="134" customFormat="false" ht="15" hidden="false" customHeight="false" outlineLevel="0" collapsed="false">
      <c r="A134" s="8" t="s">
        <v>89</v>
      </c>
      <c r="B134" s="8" t="s">
        <v>121</v>
      </c>
      <c r="C134" s="8" t="n">
        <v>4</v>
      </c>
      <c r="D134" s="9" t="n">
        <v>648</v>
      </c>
      <c r="E134" s="9" t="n">
        <v>184</v>
      </c>
      <c r="F134" s="8" t="s">
        <v>81</v>
      </c>
      <c r="G134" s="8" t="s">
        <v>74</v>
      </c>
      <c r="H134" s="10" t="n">
        <v>0.5</v>
      </c>
      <c r="I134" s="10" t="n">
        <v>0.042</v>
      </c>
      <c r="J134" s="10" t="n">
        <v>0.004</v>
      </c>
      <c r="K134" s="8" t="n">
        <v>0</v>
      </c>
      <c r="L134" s="8" t="n">
        <v>40</v>
      </c>
      <c r="M134" s="10" t="n">
        <v>0.01</v>
      </c>
      <c r="N134" s="8" t="n">
        <v>0</v>
      </c>
      <c r="O134" s="9" t="n">
        <v>57</v>
      </c>
      <c r="P134" s="10" t="n">
        <f aca="false">IF(AND(ISNUMBER(O134),ISNUMBER(D134),D134&gt;0),O134/D134,"")</f>
        <v>0.087962962962963</v>
      </c>
      <c r="Q134" s="9" t="n">
        <v>72</v>
      </c>
      <c r="R134" s="9" t="n">
        <v>71</v>
      </c>
      <c r="S134" s="9" t="n">
        <v>343</v>
      </c>
      <c r="T134" s="11" t="n">
        <f aca="false">IF(AND(ISNUMBER(S134),ISNUMBER(D134),D134&gt;0),S134/D134,"")</f>
        <v>0.529320987654321</v>
      </c>
      <c r="U134" s="10" t="n">
        <v>0.042</v>
      </c>
      <c r="V134" s="10" t="n">
        <v>0.055</v>
      </c>
      <c r="W134" s="10" t="n">
        <v>0.06</v>
      </c>
      <c r="X134" s="10" t="n">
        <v>0.1</v>
      </c>
      <c r="Y134" s="8" t="n">
        <v>0</v>
      </c>
      <c r="Z134" s="8" t="s">
        <v>74</v>
      </c>
      <c r="AA134" s="8" t="n">
        <v>12</v>
      </c>
      <c r="AB134" s="8" t="n">
        <v>0</v>
      </c>
      <c r="AC134" s="11" t="n">
        <f aca="false">IF(AND(ISNUMBER(AA134),ISNUMBER(D134),D134&gt;0),AA134/D134*100,"")</f>
        <v>1.85185185185185</v>
      </c>
      <c r="AD134" s="12" t="n">
        <v>1102</v>
      </c>
      <c r="AE134" s="8" t="s">
        <v>74</v>
      </c>
      <c r="AF134" s="8" t="s">
        <v>74</v>
      </c>
      <c r="AG134" s="12" t="n">
        <v>356.18</v>
      </c>
      <c r="AH134" s="12" t="n">
        <v>391.79</v>
      </c>
      <c r="AI134" s="12" t="n">
        <v>463.03</v>
      </c>
      <c r="AJ134" s="12" t="n">
        <v>569.88</v>
      </c>
      <c r="AK134" s="8" t="n">
        <v>16</v>
      </c>
      <c r="AL134" s="10" t="n">
        <v>0.25</v>
      </c>
      <c r="AM134" s="8" t="s">
        <v>77</v>
      </c>
      <c r="AN134" s="12"/>
      <c r="AO134" s="8" t="s">
        <v>74</v>
      </c>
      <c r="AP134" s="8" t="s">
        <v>74</v>
      </c>
      <c r="AQ134" s="10" t="n">
        <v>0.7</v>
      </c>
      <c r="AR134" s="8" t="n">
        <v>4</v>
      </c>
      <c r="AS134" s="8" t="n">
        <v>5</v>
      </c>
      <c r="AT134" s="8" t="n">
        <v>2</v>
      </c>
      <c r="AU134" s="8" t="n">
        <v>3</v>
      </c>
      <c r="AV134" s="8" t="n">
        <v>3</v>
      </c>
      <c r="AW134" s="8" t="n">
        <v>3</v>
      </c>
      <c r="AX134" s="8" t="n">
        <v>1</v>
      </c>
      <c r="AY134" s="8" t="n">
        <v>1</v>
      </c>
      <c r="AZ134" s="8" t="n">
        <v>2</v>
      </c>
      <c r="BA134" s="8" t="n">
        <v>2</v>
      </c>
      <c r="BB134" s="8" t="n">
        <v>3</v>
      </c>
      <c r="BC134" s="8" t="n">
        <v>3</v>
      </c>
      <c r="BD134" s="8" t="n">
        <v>0</v>
      </c>
      <c r="BE134" s="8" t="n">
        <v>0</v>
      </c>
      <c r="BF134" s="8" t="n">
        <v>0</v>
      </c>
      <c r="BG134" s="8" t="n">
        <v>0</v>
      </c>
      <c r="BH134" s="8" t="n">
        <v>2</v>
      </c>
      <c r="BI134" s="8" t="n">
        <v>3</v>
      </c>
      <c r="BJ134" s="9" t="n">
        <v>20</v>
      </c>
      <c r="BK134" s="9" t="n">
        <v>19</v>
      </c>
      <c r="BL134" s="9" t="n">
        <v>5</v>
      </c>
      <c r="BM134" s="9" t="n">
        <v>2</v>
      </c>
      <c r="BN134" s="10" t="n">
        <v>0.2</v>
      </c>
      <c r="BO134" s="10" t="n">
        <v>0.2</v>
      </c>
      <c r="BP134" s="10" t="n">
        <f aca="false">IF(AND(ISNUMBER(BN134),ISNUMBER(BO134)),BN134+BO134,"")</f>
        <v>0.4</v>
      </c>
      <c r="BQ134" s="10" t="n">
        <v>0.3</v>
      </c>
      <c r="BR134" s="10" t="n">
        <v>0.2</v>
      </c>
      <c r="BS134" s="10" t="n">
        <v>0.1</v>
      </c>
    </row>
    <row r="135" customFormat="false" ht="15" hidden="false" customHeight="false" outlineLevel="0" collapsed="false">
      <c r="A135" s="8" t="s">
        <v>90</v>
      </c>
      <c r="B135" s="8" t="s">
        <v>121</v>
      </c>
      <c r="C135" s="8" t="n">
        <v>4</v>
      </c>
      <c r="D135" s="9" t="n">
        <v>231</v>
      </c>
      <c r="E135" s="9" t="n">
        <v>122</v>
      </c>
      <c r="F135" s="8" t="s">
        <v>81</v>
      </c>
      <c r="G135" s="8" t="s">
        <v>74</v>
      </c>
      <c r="H135" s="10" t="n">
        <v>0</v>
      </c>
      <c r="I135" s="10" t="n">
        <v>0.035</v>
      </c>
      <c r="J135" s="10" t="n">
        <v>0.017</v>
      </c>
      <c r="K135" s="8" t="n">
        <v>0</v>
      </c>
      <c r="L135" s="8" t="n">
        <v>15</v>
      </c>
      <c r="M135" s="10" t="n">
        <v>0.005</v>
      </c>
      <c r="N135" s="8" t="n">
        <v>0</v>
      </c>
      <c r="O135" s="9" t="n">
        <v>28</v>
      </c>
      <c r="P135" s="10" t="n">
        <f aca="false">IF(AND(ISNUMBER(O135),ISNUMBER(D135),D135&gt;0),O135/D135,"")</f>
        <v>0.121212121212121</v>
      </c>
      <c r="Q135" s="9" t="n">
        <v>43</v>
      </c>
      <c r="R135" s="9" t="n">
        <v>8</v>
      </c>
      <c r="S135" s="9" t="n">
        <v>127</v>
      </c>
      <c r="T135" s="11" t="n">
        <f aca="false">IF(AND(ISNUMBER(S135),ISNUMBER(D135),D135&gt;0),S135/D135,"")</f>
        <v>0.54978354978355</v>
      </c>
      <c r="U135" s="10" t="n">
        <v>0.07</v>
      </c>
      <c r="V135" s="10" t="n">
        <v>0.12</v>
      </c>
      <c r="W135" s="10" t="n">
        <v>0.06</v>
      </c>
      <c r="X135" s="10" t="n">
        <v>0.13</v>
      </c>
      <c r="Y135" s="8" t="n">
        <v>0</v>
      </c>
      <c r="Z135" s="8" t="s">
        <v>74</v>
      </c>
      <c r="AA135" s="8" t="n">
        <v>18</v>
      </c>
      <c r="AB135" s="8" t="n">
        <v>0</v>
      </c>
      <c r="AC135" s="11" t="n">
        <f aca="false">IF(AND(ISNUMBER(AA135),ISNUMBER(D135),D135&gt;0),AA135/D135*100,"")</f>
        <v>7.79220779220779</v>
      </c>
      <c r="AD135" s="12" t="n">
        <v>2344</v>
      </c>
      <c r="AE135" s="8" t="s">
        <v>77</v>
      </c>
      <c r="AF135" s="8" t="s">
        <v>77</v>
      </c>
      <c r="AG135" s="12" t="n">
        <v>300</v>
      </c>
      <c r="AH135" s="12" t="n">
        <v>350</v>
      </c>
      <c r="AI135" s="12" t="n">
        <v>410</v>
      </c>
      <c r="AJ135" s="12" t="n">
        <v>442</v>
      </c>
      <c r="AK135" s="8" t="n">
        <v>21</v>
      </c>
      <c r="AL135" s="10" t="n">
        <v>0.45</v>
      </c>
      <c r="AM135" s="8" t="s">
        <v>74</v>
      </c>
      <c r="AN135" s="12" t="n">
        <v>41</v>
      </c>
      <c r="AO135" s="8" t="s">
        <v>74</v>
      </c>
      <c r="AP135" s="8" t="s">
        <v>74</v>
      </c>
      <c r="AQ135" s="10" t="n">
        <v>0.95</v>
      </c>
      <c r="AR135" s="8" t="n">
        <v>3</v>
      </c>
      <c r="AS135" s="8" t="n">
        <v>3</v>
      </c>
      <c r="AT135" s="8" t="n">
        <v>1</v>
      </c>
      <c r="AU135" s="8" t="n">
        <v>1</v>
      </c>
      <c r="AV135" s="8" t="n">
        <v>2</v>
      </c>
      <c r="AW135" s="8" t="n">
        <v>1</v>
      </c>
      <c r="AX135" s="8" t="n">
        <v>2</v>
      </c>
      <c r="AY135" s="8" t="n">
        <v>1</v>
      </c>
      <c r="AZ135" s="8" t="n">
        <v>1</v>
      </c>
      <c r="BA135" s="8" t="n">
        <v>1</v>
      </c>
      <c r="BB135" s="8" t="n">
        <v>2</v>
      </c>
      <c r="BC135" s="8" t="n">
        <v>3</v>
      </c>
      <c r="BD135" s="8" t="n">
        <v>0</v>
      </c>
      <c r="BE135" s="8" t="n">
        <v>0</v>
      </c>
      <c r="BF135" s="8" t="n">
        <v>1</v>
      </c>
      <c r="BG135" s="8" t="n">
        <v>1</v>
      </c>
      <c r="BH135" s="8" t="n">
        <v>2</v>
      </c>
      <c r="BI135" s="8" t="n">
        <v>4</v>
      </c>
      <c r="BJ135" s="9" t="n">
        <v>26</v>
      </c>
      <c r="BK135" s="9" t="n">
        <v>10</v>
      </c>
      <c r="BL135" s="9" t="n">
        <v>6</v>
      </c>
      <c r="BM135" s="9" t="n">
        <v>3</v>
      </c>
      <c r="BN135" s="10" t="n">
        <v>0.1</v>
      </c>
      <c r="BO135" s="10" t="n">
        <v>0.2</v>
      </c>
      <c r="BP135" s="10" t="n">
        <f aca="false">IF(AND(ISNUMBER(BN135),ISNUMBER(BO135)),BN135+BO135,"")</f>
        <v>0.3</v>
      </c>
      <c r="BQ135" s="10" t="n">
        <v>0.5</v>
      </c>
      <c r="BR135" s="10" t="n">
        <v>0.2</v>
      </c>
      <c r="BS135" s="10" t="n">
        <v>0</v>
      </c>
    </row>
    <row r="136" customFormat="false" ht="15" hidden="false" customHeight="false" outlineLevel="0" collapsed="false">
      <c r="A136" s="8" t="s">
        <v>91</v>
      </c>
      <c r="B136" s="8" t="s">
        <v>121</v>
      </c>
      <c r="C136" s="8" t="n">
        <v>4</v>
      </c>
      <c r="D136" s="9" t="n">
        <v>3073</v>
      </c>
      <c r="E136" s="9" t="n">
        <v>1735</v>
      </c>
      <c r="F136" s="8" t="s">
        <v>92</v>
      </c>
      <c r="G136" s="8" t="s">
        <v>74</v>
      </c>
      <c r="H136" s="10" t="n">
        <v>0.1</v>
      </c>
      <c r="I136" s="10" t="n">
        <v>0.089</v>
      </c>
      <c r="J136" s="10" t="n">
        <v>0.15</v>
      </c>
      <c r="K136" s="8" t="n">
        <v>1</v>
      </c>
      <c r="L136" s="8" t="n">
        <v>3</v>
      </c>
      <c r="M136" s="10" t="n">
        <v>0.006</v>
      </c>
      <c r="N136" s="8" t="n">
        <v>0</v>
      </c>
      <c r="O136" s="9" t="n">
        <v>481</v>
      </c>
      <c r="P136" s="10" t="n">
        <f aca="false">IF(AND(ISNUMBER(O136),ISNUMBER(D136),D136&gt;0),O136/D136,"")</f>
        <v>0.156524568825252</v>
      </c>
      <c r="Q136" s="9" t="n">
        <v>413</v>
      </c>
      <c r="R136" s="9" t="n">
        <v>397</v>
      </c>
      <c r="S136" s="9" t="n">
        <v>3297</v>
      </c>
      <c r="T136" s="11" t="n">
        <f aca="false">IF(AND(ISNUMBER(S136),ISNUMBER(D136),D136&gt;0),S136/D136,"")</f>
        <v>1.07289293849658</v>
      </c>
      <c r="U136" s="10" t="n">
        <v>0.082</v>
      </c>
      <c r="V136" s="10" t="n">
        <v>0.045</v>
      </c>
      <c r="W136" s="10" t="n">
        <v>0.13</v>
      </c>
      <c r="X136" s="10" t="n">
        <v>0.04</v>
      </c>
      <c r="Y136" s="8" t="n">
        <v>0</v>
      </c>
      <c r="Z136" s="8" t="s">
        <v>74</v>
      </c>
      <c r="AA136" s="8" t="n">
        <v>8</v>
      </c>
      <c r="AB136" s="8" t="n">
        <v>0</v>
      </c>
      <c r="AC136" s="11" t="n">
        <f aca="false">IF(AND(ISNUMBER(AA136),ISNUMBER(D136),D136&gt;0),AA136/D136*100,"")</f>
        <v>0.260331923202083</v>
      </c>
      <c r="AD136" s="12" t="n">
        <v>721</v>
      </c>
      <c r="AE136" s="8" t="s">
        <v>77</v>
      </c>
      <c r="AF136" s="8" t="s">
        <v>74</v>
      </c>
      <c r="AG136" s="12" t="n">
        <v>331.53</v>
      </c>
      <c r="AH136" s="12" t="n">
        <v>438.69</v>
      </c>
      <c r="AI136" s="12" t="n">
        <v>447.99</v>
      </c>
      <c r="AJ136" s="12" t="n">
        <v>807.27</v>
      </c>
      <c r="AK136" s="8" t="n">
        <v>30</v>
      </c>
      <c r="AL136" s="10" t="n">
        <v>0.6</v>
      </c>
      <c r="AM136" s="8" t="s">
        <v>74</v>
      </c>
      <c r="AN136" s="12" t="n">
        <v>25</v>
      </c>
      <c r="AO136" s="8" t="s">
        <v>74</v>
      </c>
      <c r="AP136" s="8" t="s">
        <v>74</v>
      </c>
      <c r="AQ136" s="10" t="n">
        <v>1</v>
      </c>
      <c r="AR136" s="8" t="n">
        <v>4</v>
      </c>
      <c r="AS136" s="8" t="n">
        <v>2</v>
      </c>
      <c r="AT136" s="8" t="n">
        <v>2</v>
      </c>
      <c r="AU136" s="8" t="n">
        <v>3</v>
      </c>
      <c r="AV136" s="8" t="n">
        <v>3</v>
      </c>
      <c r="AW136" s="8" t="n">
        <v>1</v>
      </c>
      <c r="AX136" s="8" t="n">
        <v>2</v>
      </c>
      <c r="AY136" s="8" t="n">
        <v>2</v>
      </c>
      <c r="AZ136" s="8" t="n">
        <v>1</v>
      </c>
      <c r="BA136" s="8" t="n">
        <v>1</v>
      </c>
      <c r="BB136" s="8" t="n">
        <v>2</v>
      </c>
      <c r="BC136" s="8" t="n">
        <v>1</v>
      </c>
      <c r="BD136" s="8" t="n">
        <v>1</v>
      </c>
      <c r="BE136" s="8" t="n">
        <v>1</v>
      </c>
      <c r="BF136" s="8" t="n">
        <v>1</v>
      </c>
      <c r="BG136" s="8" t="n">
        <v>0</v>
      </c>
      <c r="BH136" s="8" t="n">
        <v>2</v>
      </c>
      <c r="BI136" s="8" t="n">
        <v>1</v>
      </c>
      <c r="BJ136" s="9" t="n">
        <v>208</v>
      </c>
      <c r="BK136" s="9" t="n">
        <v>258</v>
      </c>
      <c r="BL136" s="9" t="n">
        <v>24</v>
      </c>
      <c r="BM136" s="9" t="n">
        <v>40</v>
      </c>
      <c r="BN136" s="10" t="n">
        <v>0.3</v>
      </c>
      <c r="BO136" s="10" t="n">
        <v>0.2</v>
      </c>
      <c r="BP136" s="10" t="n">
        <f aca="false">IF(AND(ISNUMBER(BN136),ISNUMBER(BO136)),BN136+BO136,"")</f>
        <v>0.5</v>
      </c>
      <c r="BQ136" s="10" t="n">
        <v>0.2</v>
      </c>
      <c r="BR136" s="10" t="n">
        <v>0.1</v>
      </c>
      <c r="BS136" s="10" t="n">
        <v>0.1</v>
      </c>
    </row>
    <row r="137" customFormat="false" ht="15" hidden="false" customHeight="false" outlineLevel="0" collapsed="false">
      <c r="A137" s="8" t="s">
        <v>93</v>
      </c>
      <c r="B137" s="8" t="s">
        <v>121</v>
      </c>
      <c r="C137" s="8" t="n">
        <v>4</v>
      </c>
      <c r="D137" s="9" t="n">
        <v>134</v>
      </c>
      <c r="E137" s="9" t="n">
        <v>91</v>
      </c>
      <c r="F137" s="8" t="s">
        <v>94</v>
      </c>
      <c r="G137" s="8" t="s">
        <v>74</v>
      </c>
      <c r="H137" s="10" t="n">
        <v>0.9</v>
      </c>
      <c r="I137" s="10" t="n">
        <v>0.15</v>
      </c>
      <c r="J137" s="10" t="n">
        <v>0.01</v>
      </c>
      <c r="K137" s="8" t="n">
        <v>0</v>
      </c>
      <c r="L137" s="8" t="n">
        <v>20</v>
      </c>
      <c r="M137" s="10" t="n">
        <v>0.01</v>
      </c>
      <c r="N137" s="8" t="n">
        <v>0</v>
      </c>
      <c r="O137" s="9" t="n">
        <v>21</v>
      </c>
      <c r="P137" s="10" t="n">
        <f aca="false">IF(AND(ISNUMBER(O137),ISNUMBER(D137),D137&gt;0),O137/D137,"")</f>
        <v>0.156716417910448</v>
      </c>
      <c r="Q137" s="9" t="n">
        <v>60</v>
      </c>
      <c r="R137" s="9" t="n">
        <v>60</v>
      </c>
      <c r="S137" s="9" t="n">
        <v>88</v>
      </c>
      <c r="T137" s="11" t="n">
        <f aca="false">IF(AND(ISNUMBER(S137),ISNUMBER(D137),D137&gt;0),S137/D137,"")</f>
        <v>0.656716417910448</v>
      </c>
      <c r="U137" s="10" t="n">
        <v>0.15</v>
      </c>
      <c r="V137" s="10" t="n">
        <v>0.09</v>
      </c>
      <c r="W137" s="10" t="n">
        <v>0.065</v>
      </c>
      <c r="X137" s="10" t="n">
        <v>0.1</v>
      </c>
      <c r="Y137" s="8" t="n">
        <v>0</v>
      </c>
      <c r="Z137" s="8" t="s">
        <v>74</v>
      </c>
      <c r="AA137" s="8" t="n">
        <v>16</v>
      </c>
      <c r="AB137" s="8" t="n">
        <v>0</v>
      </c>
      <c r="AC137" s="11" t="n">
        <f aca="false">IF(AND(ISNUMBER(AA137),ISNUMBER(D137),D137&gt;0),AA137/D137*100,"")</f>
        <v>11.9402985074627</v>
      </c>
      <c r="AD137" s="12" t="n">
        <v>2824.5</v>
      </c>
      <c r="AE137" s="8" t="s">
        <v>77</v>
      </c>
      <c r="AF137" s="8" t="s">
        <v>74</v>
      </c>
      <c r="AG137" s="12" t="n">
        <v>286.22</v>
      </c>
      <c r="AH137" s="12" t="n">
        <v>341</v>
      </c>
      <c r="AI137" s="12" t="n">
        <v>388.41</v>
      </c>
      <c r="AJ137" s="12" t="n">
        <v>411.73</v>
      </c>
      <c r="AK137" s="8" t="n">
        <v>15</v>
      </c>
      <c r="AL137" s="10" t="n">
        <v>0.25</v>
      </c>
      <c r="AM137" s="8" t="s">
        <v>74</v>
      </c>
      <c r="AN137" s="12" t="n">
        <v>65</v>
      </c>
      <c r="AO137" s="8" t="s">
        <v>77</v>
      </c>
      <c r="AP137" s="8" t="s">
        <v>74</v>
      </c>
      <c r="AQ137" s="10" t="n">
        <v>0.85</v>
      </c>
      <c r="AR137" s="8" t="n">
        <v>4</v>
      </c>
      <c r="AS137" s="8" t="n">
        <v>4</v>
      </c>
      <c r="AT137" s="8" t="n">
        <v>1</v>
      </c>
      <c r="AU137" s="8" t="n">
        <v>1</v>
      </c>
      <c r="AV137" s="8" t="n">
        <v>2</v>
      </c>
      <c r="AW137" s="8" t="n">
        <v>0</v>
      </c>
      <c r="AX137" s="8" t="n">
        <v>2</v>
      </c>
      <c r="AY137" s="8" t="n">
        <v>1</v>
      </c>
      <c r="AZ137" s="8" t="n">
        <v>1</v>
      </c>
      <c r="BA137" s="8" t="n">
        <v>1</v>
      </c>
      <c r="BB137" s="8" t="n">
        <v>2</v>
      </c>
      <c r="BC137" s="8" t="n">
        <v>1</v>
      </c>
      <c r="BD137" s="8" t="n">
        <v>1</v>
      </c>
      <c r="BE137" s="8" t="n">
        <v>2</v>
      </c>
      <c r="BF137" s="8" t="n">
        <v>0</v>
      </c>
      <c r="BG137" s="8" t="n">
        <v>0</v>
      </c>
      <c r="BH137" s="8" t="n">
        <v>1</v>
      </c>
      <c r="BI137" s="8" t="n">
        <v>0</v>
      </c>
      <c r="BJ137" s="9" t="n">
        <v>8</v>
      </c>
      <c r="BK137" s="9" t="n">
        <v>10</v>
      </c>
      <c r="BL137" s="9" t="n">
        <v>4</v>
      </c>
      <c r="BM137" s="9" t="n">
        <v>2</v>
      </c>
      <c r="BN137" s="10" t="n">
        <v>0.6</v>
      </c>
      <c r="BO137" s="10" t="n">
        <v>0.2</v>
      </c>
      <c r="BP137" s="10" t="n">
        <f aca="false">IF(AND(ISNUMBER(BN137),ISNUMBER(BO137)),BN137+BO137,"")</f>
        <v>0.8</v>
      </c>
      <c r="BQ137" s="10" t="n">
        <v>0.1</v>
      </c>
      <c r="BR137" s="10" t="n">
        <v>0.1</v>
      </c>
      <c r="BS137" s="10" t="n">
        <v>0</v>
      </c>
    </row>
    <row r="138" customFormat="false" ht="15" hidden="false" customHeight="false" outlineLevel="0" collapsed="false">
      <c r="A138" s="8" t="s">
        <v>95</v>
      </c>
      <c r="B138" s="8" t="s">
        <v>121</v>
      </c>
      <c r="C138" s="8" t="n">
        <v>4</v>
      </c>
      <c r="D138" s="9" t="n">
        <v>19</v>
      </c>
      <c r="E138" s="9" t="n">
        <v>17</v>
      </c>
      <c r="F138" s="8" t="s">
        <v>81</v>
      </c>
      <c r="G138" s="8" t="s">
        <v>77</v>
      </c>
      <c r="H138" s="10" t="n">
        <v>0.1</v>
      </c>
      <c r="I138" s="10" t="n">
        <v>0.001</v>
      </c>
      <c r="J138" s="10" t="n">
        <v>0.001</v>
      </c>
      <c r="K138" s="8" t="n">
        <v>0</v>
      </c>
      <c r="L138" s="8" t="n">
        <v>5</v>
      </c>
      <c r="M138" s="10" t="n">
        <v>0.001</v>
      </c>
      <c r="N138" s="8" t="n">
        <v>0</v>
      </c>
      <c r="O138" s="9" t="n">
        <v>0</v>
      </c>
      <c r="P138" s="10" t="n">
        <f aca="false">IF(AND(ISNUMBER(O138),ISNUMBER(D138),D138&gt;0),O138/D138,"")</f>
        <v>0</v>
      </c>
      <c r="Q138" s="9" t="n">
        <v>0</v>
      </c>
      <c r="R138" s="9" t="n">
        <v>0</v>
      </c>
      <c r="S138" s="9" t="n">
        <v>0</v>
      </c>
      <c r="T138" s="11" t="n">
        <f aca="false">IF(AND(ISNUMBER(S138),ISNUMBER(D138),D138&gt;0),S138/D138,"")</f>
        <v>0</v>
      </c>
      <c r="U138" s="10" t="n">
        <v>0.08</v>
      </c>
      <c r="V138" s="10" t="n">
        <v>0.1</v>
      </c>
      <c r="W138" s="10"/>
      <c r="X138" s="10" t="n">
        <v>0.1</v>
      </c>
      <c r="Y138" s="8" t="n">
        <v>0</v>
      </c>
      <c r="Z138" s="8" t="s">
        <v>77</v>
      </c>
      <c r="AA138" s="8" t="n">
        <v>0</v>
      </c>
      <c r="AB138" s="8" t="n">
        <v>0</v>
      </c>
      <c r="AC138" s="11" t="n">
        <f aca="false">IF(AND(ISNUMBER(AA138),ISNUMBER(D138),D138&gt;0),AA138/D138*100,"")</f>
        <v>0</v>
      </c>
      <c r="AD138" s="12"/>
      <c r="AE138" s="8" t="s">
        <v>74</v>
      </c>
      <c r="AF138" s="8" t="s">
        <v>77</v>
      </c>
      <c r="AG138" s="12" t="n">
        <v>285.71</v>
      </c>
      <c r="AH138" s="12" t="n">
        <v>385.71</v>
      </c>
      <c r="AI138" s="12" t="n">
        <v>457.14</v>
      </c>
      <c r="AJ138" s="12" t="n">
        <v>642.86</v>
      </c>
      <c r="AK138" s="8" t="n">
        <v>15</v>
      </c>
      <c r="AL138" s="10" t="n">
        <v>0.25</v>
      </c>
      <c r="AM138" s="8" t="s">
        <v>77</v>
      </c>
      <c r="AN138" s="12"/>
      <c r="AO138" s="8" t="s">
        <v>77</v>
      </c>
      <c r="AP138" s="8"/>
      <c r="AQ138" s="10"/>
      <c r="AR138" s="8" t="n">
        <v>3</v>
      </c>
      <c r="AS138" s="8" t="n">
        <v>2</v>
      </c>
      <c r="AT138" s="8" t="n">
        <v>0</v>
      </c>
      <c r="AU138" s="8" t="n">
        <v>1</v>
      </c>
      <c r="AV138" s="8" t="n">
        <v>0</v>
      </c>
      <c r="AW138" s="8" t="n">
        <v>0</v>
      </c>
      <c r="AX138" s="8" t="n">
        <v>0</v>
      </c>
      <c r="AY138" s="8" t="n">
        <v>1</v>
      </c>
      <c r="AZ138" s="8" t="n">
        <v>0</v>
      </c>
      <c r="BA138" s="8" t="n">
        <v>0</v>
      </c>
      <c r="BB138" s="8" t="n">
        <v>0</v>
      </c>
      <c r="BC138" s="8" t="n">
        <v>0</v>
      </c>
      <c r="BD138" s="8" t="n">
        <v>0</v>
      </c>
      <c r="BE138" s="8" t="n">
        <v>1</v>
      </c>
      <c r="BF138" s="8" t="n">
        <v>0</v>
      </c>
      <c r="BG138" s="8" t="n">
        <v>0</v>
      </c>
      <c r="BH138" s="8" t="n">
        <v>1</v>
      </c>
      <c r="BI138" s="8" t="n">
        <v>0</v>
      </c>
      <c r="BJ138" s="9" t="n">
        <v>0</v>
      </c>
      <c r="BK138" s="9" t="n">
        <v>0</v>
      </c>
      <c r="BL138" s="9"/>
      <c r="BM138" s="9"/>
      <c r="BN138" s="10" t="n">
        <v>0</v>
      </c>
      <c r="BO138" s="10" t="n">
        <v>0.3</v>
      </c>
      <c r="BP138" s="10" t="n">
        <f aca="false">IF(AND(ISNUMBER(BN138),ISNUMBER(BO138)),BN138+BO138,"")</f>
        <v>0.3</v>
      </c>
      <c r="BQ138" s="10" t="n">
        <v>0.7</v>
      </c>
      <c r="BR138" s="10" t="n">
        <v>0</v>
      </c>
      <c r="BS138" s="10" t="n">
        <v>0</v>
      </c>
    </row>
    <row r="139" customFormat="false" ht="15" hidden="false" customHeight="false" outlineLevel="0" collapsed="false">
      <c r="A139" s="8" t="s">
        <v>96</v>
      </c>
      <c r="B139" s="8" t="s">
        <v>121</v>
      </c>
      <c r="C139" s="8" t="n">
        <v>4</v>
      </c>
      <c r="D139" s="9" t="n">
        <v>576</v>
      </c>
      <c r="E139" s="9" t="n">
        <v>124</v>
      </c>
      <c r="F139" s="8" t="s">
        <v>76</v>
      </c>
      <c r="G139" s="8" t="s">
        <v>74</v>
      </c>
      <c r="H139" s="10" t="n">
        <v>0.2</v>
      </c>
      <c r="I139" s="10" t="n">
        <v>0.09</v>
      </c>
      <c r="J139" s="10" t="n">
        <v>0.019</v>
      </c>
      <c r="K139" s="8" t="n">
        <v>0</v>
      </c>
      <c r="L139" s="8" t="n">
        <v>7</v>
      </c>
      <c r="M139" s="10" t="n">
        <v>0.02</v>
      </c>
      <c r="N139" s="8" t="n">
        <v>0</v>
      </c>
      <c r="O139" s="9" t="n">
        <v>96</v>
      </c>
      <c r="P139" s="10" t="n">
        <f aca="false">IF(AND(ISNUMBER(O139),ISNUMBER(D139),D139&gt;0),O139/D139,"")</f>
        <v>0.166666666666667</v>
      </c>
      <c r="Q139" s="9" t="n">
        <v>89</v>
      </c>
      <c r="R139" s="9" t="n">
        <v>89</v>
      </c>
      <c r="S139" s="9" t="n">
        <v>500</v>
      </c>
      <c r="T139" s="11" t="n">
        <f aca="false">IF(AND(ISNUMBER(S139),ISNUMBER(D139),D139&gt;0),S139/D139,"")</f>
        <v>0.868055555555556</v>
      </c>
      <c r="U139" s="10"/>
      <c r="V139" s="10" t="n">
        <v>0.1</v>
      </c>
      <c r="W139" s="10" t="n">
        <v>0.05</v>
      </c>
      <c r="X139" s="10" t="n">
        <v>0.01</v>
      </c>
      <c r="Y139" s="8" t="n">
        <v>0</v>
      </c>
      <c r="Z139" s="8" t="s">
        <v>74</v>
      </c>
      <c r="AA139" s="8" t="n">
        <v>17</v>
      </c>
      <c r="AB139" s="8" t="n">
        <v>0</v>
      </c>
      <c r="AC139" s="11" t="n">
        <f aca="false">IF(AND(ISNUMBER(AA139),ISNUMBER(D139),D139&gt;0),AA139/D139*100,"")</f>
        <v>2.95138888888889</v>
      </c>
      <c r="AD139" s="12" t="n">
        <v>450</v>
      </c>
      <c r="AE139" s="8" t="s">
        <v>74</v>
      </c>
      <c r="AF139" s="8" t="s">
        <v>77</v>
      </c>
      <c r="AG139" s="12" t="n">
        <v>340.75</v>
      </c>
      <c r="AH139" s="12" t="n">
        <v>444.86</v>
      </c>
      <c r="AI139" s="12" t="n">
        <v>619.49</v>
      </c>
      <c r="AJ139" s="12" t="n">
        <v>684.19</v>
      </c>
      <c r="AK139" s="8" t="n">
        <v>19</v>
      </c>
      <c r="AL139" s="10" t="n">
        <v>0.55</v>
      </c>
      <c r="AM139" s="8" t="s">
        <v>74</v>
      </c>
      <c r="AN139" s="12" t="n">
        <v>50</v>
      </c>
      <c r="AO139" s="8" t="s">
        <v>77</v>
      </c>
      <c r="AP139" s="8" t="s">
        <v>74</v>
      </c>
      <c r="AQ139" s="10" t="n">
        <v>0.9</v>
      </c>
      <c r="AR139" s="8" t="n">
        <v>3</v>
      </c>
      <c r="AS139" s="8" t="n">
        <v>2</v>
      </c>
      <c r="AT139" s="8" t="n">
        <v>1</v>
      </c>
      <c r="AU139" s="8" t="n">
        <v>3</v>
      </c>
      <c r="AV139" s="8" t="n">
        <v>0</v>
      </c>
      <c r="AW139" s="8" t="n">
        <v>1</v>
      </c>
      <c r="AX139" s="8" t="n">
        <v>0</v>
      </c>
      <c r="AY139" s="8" t="n">
        <v>0</v>
      </c>
      <c r="AZ139" s="8" t="n">
        <v>2</v>
      </c>
      <c r="BA139" s="8" t="n">
        <v>0</v>
      </c>
      <c r="BB139" s="8" t="n">
        <v>2</v>
      </c>
      <c r="BC139" s="8" t="n">
        <v>3</v>
      </c>
      <c r="BD139" s="8" t="n">
        <v>2</v>
      </c>
      <c r="BE139" s="8" t="n">
        <v>1</v>
      </c>
      <c r="BF139" s="8" t="n">
        <v>1</v>
      </c>
      <c r="BG139" s="8" t="n">
        <v>0</v>
      </c>
      <c r="BH139" s="8" t="n">
        <v>3</v>
      </c>
      <c r="BI139" s="8" t="n">
        <v>3</v>
      </c>
      <c r="BJ139" s="9" t="n">
        <v>60</v>
      </c>
      <c r="BK139" s="9" t="n">
        <v>20</v>
      </c>
      <c r="BL139" s="9" t="n">
        <v>14</v>
      </c>
      <c r="BM139" s="9" t="n">
        <v>2</v>
      </c>
      <c r="BN139" s="10" t="n">
        <v>0.6</v>
      </c>
      <c r="BO139" s="10" t="n">
        <v>0.2</v>
      </c>
      <c r="BP139" s="10" t="n">
        <f aca="false">IF(AND(ISNUMBER(BN139),ISNUMBER(BO139)),BN139+BO139,"")</f>
        <v>0.8</v>
      </c>
      <c r="BQ139" s="10" t="n">
        <v>0.1</v>
      </c>
      <c r="BR139" s="10" t="n">
        <v>0.1</v>
      </c>
      <c r="BS139" s="10" t="n">
        <v>0</v>
      </c>
    </row>
    <row r="140" customFormat="false" ht="15" hidden="false" customHeight="false" outlineLevel="0" collapsed="false">
      <c r="A140" s="8" t="s">
        <v>97</v>
      </c>
      <c r="B140" s="8" t="s">
        <v>121</v>
      </c>
      <c r="C140" s="8" t="n">
        <v>4</v>
      </c>
      <c r="D140" s="9" t="n">
        <v>627</v>
      </c>
      <c r="E140" s="9" t="n">
        <v>464</v>
      </c>
      <c r="F140" s="8" t="s">
        <v>76</v>
      </c>
      <c r="G140" s="8" t="s">
        <v>74</v>
      </c>
      <c r="H140" s="10" t="n">
        <v>0</v>
      </c>
      <c r="I140" s="10" t="n">
        <v>0.006</v>
      </c>
      <c r="J140" s="10" t="n">
        <v>0.002</v>
      </c>
      <c r="K140" s="8" t="n">
        <v>0</v>
      </c>
      <c r="L140" s="8" t="n">
        <v>30</v>
      </c>
      <c r="M140" s="10"/>
      <c r="N140" s="8" t="n">
        <v>0</v>
      </c>
      <c r="O140" s="9" t="n">
        <v>7</v>
      </c>
      <c r="P140" s="10" t="n">
        <f aca="false">IF(AND(ISNUMBER(O140),ISNUMBER(D140),D140&gt;0),O140/D140,"")</f>
        <v>0.0111642743221691</v>
      </c>
      <c r="Q140" s="9" t="n">
        <v>43</v>
      </c>
      <c r="R140" s="9" t="n">
        <v>24</v>
      </c>
      <c r="S140" s="9" t="n">
        <v>311</v>
      </c>
      <c r="T140" s="11" t="n">
        <f aca="false">IF(AND(ISNUMBER(S140),ISNUMBER(D140),D140&gt;0),S140/D140,"")</f>
        <v>0.496012759170654</v>
      </c>
      <c r="U140" s="10" t="n">
        <v>0.05</v>
      </c>
      <c r="V140" s="10" t="n">
        <v>0.105</v>
      </c>
      <c r="W140" s="10" t="n">
        <v>0.13</v>
      </c>
      <c r="X140" s="10"/>
      <c r="Y140" s="8" t="n">
        <v>0</v>
      </c>
      <c r="Z140" s="8" t="s">
        <v>77</v>
      </c>
      <c r="AA140" s="8" t="n">
        <v>0</v>
      </c>
      <c r="AB140" s="8" t="n">
        <v>0</v>
      </c>
      <c r="AC140" s="11" t="n">
        <f aca="false">IF(AND(ISNUMBER(AA140),ISNUMBER(D140),D140&gt;0),AA140/D140*100,"")</f>
        <v>0</v>
      </c>
      <c r="AD140" s="12"/>
      <c r="AE140" s="8" t="s">
        <v>77</v>
      </c>
      <c r="AF140" s="8" t="s">
        <v>77</v>
      </c>
      <c r="AG140" s="12" t="n">
        <v>449.17</v>
      </c>
      <c r="AH140" s="12" t="n">
        <v>544.47</v>
      </c>
      <c r="AI140" s="12" t="n">
        <v>707.79</v>
      </c>
      <c r="AJ140" s="12" t="n">
        <v>884.7</v>
      </c>
      <c r="AK140" s="8" t="n">
        <v>25</v>
      </c>
      <c r="AL140" s="10" t="n">
        <v>0.7</v>
      </c>
      <c r="AM140" s="8" t="s">
        <v>74</v>
      </c>
      <c r="AN140" s="12" t="n">
        <v>47</v>
      </c>
      <c r="AO140" s="8" t="s">
        <v>77</v>
      </c>
      <c r="AP140" s="8" t="s">
        <v>74</v>
      </c>
      <c r="AQ140" s="10"/>
      <c r="AR140" s="8" t="n">
        <v>4</v>
      </c>
      <c r="AS140" s="8" t="n">
        <v>1</v>
      </c>
      <c r="AT140" s="8" t="n">
        <v>0</v>
      </c>
      <c r="AU140" s="8" t="n">
        <v>0</v>
      </c>
      <c r="AV140" s="8" t="n">
        <v>0</v>
      </c>
      <c r="AW140" s="8" t="n">
        <v>0</v>
      </c>
      <c r="AX140" s="8" t="n">
        <v>1</v>
      </c>
      <c r="AY140" s="8" t="n">
        <v>1</v>
      </c>
      <c r="AZ140" s="8" t="n">
        <v>2</v>
      </c>
      <c r="BA140" s="8" t="n">
        <v>1</v>
      </c>
      <c r="BB140" s="8" t="n">
        <v>0</v>
      </c>
      <c r="BC140" s="8" t="n">
        <v>0</v>
      </c>
      <c r="BD140" s="8" t="n">
        <v>0</v>
      </c>
      <c r="BE140" s="8" t="n">
        <v>0</v>
      </c>
      <c r="BF140" s="8" t="n">
        <v>0</v>
      </c>
      <c r="BG140" s="8" t="n">
        <v>0</v>
      </c>
      <c r="BH140" s="8" t="n">
        <v>0</v>
      </c>
      <c r="BI140" s="8" t="n">
        <v>2</v>
      </c>
      <c r="BJ140" s="9" t="n">
        <v>9</v>
      </c>
      <c r="BK140" s="9" t="n">
        <v>0</v>
      </c>
      <c r="BL140" s="9" t="n">
        <v>0</v>
      </c>
      <c r="BM140" s="9" t="n">
        <v>3</v>
      </c>
      <c r="BN140" s="10" t="n">
        <v>0</v>
      </c>
      <c r="BO140" s="10" t="n">
        <v>0</v>
      </c>
      <c r="BP140" s="10" t="n">
        <f aca="false">IF(AND(ISNUMBER(BN140),ISNUMBER(BO140)),BN140+BO140,"")</f>
        <v>0</v>
      </c>
      <c r="BQ140" s="10" t="n">
        <v>0.5</v>
      </c>
      <c r="BR140" s="10" t="n">
        <v>0.3</v>
      </c>
      <c r="BS140" s="10" t="n">
        <v>0.2</v>
      </c>
    </row>
    <row r="141" customFormat="false" ht="15" hidden="false" customHeight="false" outlineLevel="0" collapsed="false">
      <c r="A141" s="8" t="s">
        <v>98</v>
      </c>
      <c r="B141" s="8" t="s">
        <v>121</v>
      </c>
      <c r="C141" s="8" t="n">
        <v>4</v>
      </c>
      <c r="D141" s="9" t="n">
        <v>3252</v>
      </c>
      <c r="E141" s="9" t="n">
        <v>978</v>
      </c>
      <c r="F141" s="8" t="s">
        <v>73</v>
      </c>
      <c r="G141" s="8" t="s">
        <v>74</v>
      </c>
      <c r="H141" s="10" t="n">
        <v>0.3</v>
      </c>
      <c r="I141" s="10" t="n">
        <v>0.017</v>
      </c>
      <c r="J141" s="10" t="n">
        <v>0.007</v>
      </c>
      <c r="K141" s="8" t="n">
        <v>0</v>
      </c>
      <c r="L141" s="8"/>
      <c r="M141" s="10" t="n">
        <v>0.076</v>
      </c>
      <c r="N141" s="8" t="n">
        <v>0</v>
      </c>
      <c r="O141" s="9" t="n">
        <v>583</v>
      </c>
      <c r="P141" s="10" t="n">
        <f aca="false">IF(AND(ISNUMBER(O141),ISNUMBER(D141),D141&gt;0),O141/D141,"")</f>
        <v>0.179274292742927</v>
      </c>
      <c r="Q141" s="9"/>
      <c r="R141" s="9" t="n">
        <v>691</v>
      </c>
      <c r="S141" s="9" t="n">
        <v>1862</v>
      </c>
      <c r="T141" s="11" t="n">
        <f aca="false">IF(AND(ISNUMBER(S141),ISNUMBER(D141),D141&gt;0),S141/D141,"")</f>
        <v>0.572570725707257</v>
      </c>
      <c r="U141" s="10" t="n">
        <v>0.07</v>
      </c>
      <c r="V141" s="10" t="n">
        <v>0.08</v>
      </c>
      <c r="W141" s="10" t="n">
        <v>0.06</v>
      </c>
      <c r="X141" s="10"/>
      <c r="Y141" s="8" t="n">
        <v>0</v>
      </c>
      <c r="Z141" s="8" t="s">
        <v>74</v>
      </c>
      <c r="AA141" s="8" t="n">
        <v>41</v>
      </c>
      <c r="AB141" s="8" t="n">
        <v>1</v>
      </c>
      <c r="AC141" s="11" t="n">
        <f aca="false">IF(AND(ISNUMBER(AA141),ISNUMBER(D141),D141&gt;0),AA141/D141*100,"")</f>
        <v>1.26076260762608</v>
      </c>
      <c r="AD141" s="12" t="n">
        <v>1136</v>
      </c>
      <c r="AE141" s="8" t="s">
        <v>74</v>
      </c>
      <c r="AF141" s="8" t="s">
        <v>74</v>
      </c>
      <c r="AG141" s="12" t="n">
        <v>250</v>
      </c>
      <c r="AH141" s="12" t="n">
        <v>278.59</v>
      </c>
      <c r="AI141" s="12" t="n">
        <v>349.26</v>
      </c>
      <c r="AJ141" s="12" t="n">
        <v>407.89</v>
      </c>
      <c r="AK141" s="8" t="n">
        <v>18</v>
      </c>
      <c r="AL141" s="10" t="n">
        <v>0.6</v>
      </c>
      <c r="AM141" s="8" t="s">
        <v>74</v>
      </c>
      <c r="AN141" s="12" t="n">
        <v>29</v>
      </c>
      <c r="AO141" s="8" t="s">
        <v>77</v>
      </c>
      <c r="AP141" s="8" t="s">
        <v>74</v>
      </c>
      <c r="AQ141" s="10" t="n">
        <v>0.8</v>
      </c>
      <c r="AR141" s="8" t="n">
        <v>2</v>
      </c>
      <c r="AS141" s="8" t="n">
        <v>1</v>
      </c>
      <c r="AT141" s="8" t="n">
        <v>0</v>
      </c>
      <c r="AU141" s="8" t="n">
        <v>2</v>
      </c>
      <c r="AV141" s="8" t="n">
        <v>1</v>
      </c>
      <c r="AW141" s="8" t="n">
        <v>1</v>
      </c>
      <c r="AX141" s="8" t="n">
        <v>2</v>
      </c>
      <c r="AY141" s="8" t="n">
        <v>2</v>
      </c>
      <c r="AZ141" s="8" t="n">
        <v>2</v>
      </c>
      <c r="BA141" s="8" t="n">
        <v>0</v>
      </c>
      <c r="BB141" s="8" t="n">
        <v>3</v>
      </c>
      <c r="BC141" s="8" t="n">
        <v>3</v>
      </c>
      <c r="BD141" s="8" t="n">
        <v>2</v>
      </c>
      <c r="BE141" s="8" t="n">
        <v>1</v>
      </c>
      <c r="BF141" s="8" t="n">
        <v>1</v>
      </c>
      <c r="BG141" s="8" t="n">
        <v>0</v>
      </c>
      <c r="BH141" s="8" t="n">
        <v>4</v>
      </c>
      <c r="BI141" s="8" t="n">
        <v>4</v>
      </c>
      <c r="BJ141" s="9" t="n">
        <v>95</v>
      </c>
      <c r="BK141" s="9" t="n">
        <v>3</v>
      </c>
      <c r="BL141" s="9" t="n">
        <v>498</v>
      </c>
      <c r="BM141" s="9" t="n">
        <v>46</v>
      </c>
      <c r="BN141" s="10" t="n">
        <v>0.4</v>
      </c>
      <c r="BO141" s="10" t="n">
        <v>0.3</v>
      </c>
      <c r="BP141" s="10" t="n">
        <f aca="false">IF(AND(ISNUMBER(BN141),ISNUMBER(BO141)),BN141+BO141,"")</f>
        <v>0.7</v>
      </c>
      <c r="BQ141" s="10" t="n">
        <v>0.2</v>
      </c>
      <c r="BR141" s="10" t="n">
        <v>0.1</v>
      </c>
      <c r="BS141" s="10" t="n">
        <v>0</v>
      </c>
    </row>
    <row r="142" customFormat="false" ht="15" hidden="false" customHeight="false" outlineLevel="0" collapsed="false">
      <c r="A142" s="8" t="s">
        <v>99</v>
      </c>
      <c r="B142" s="8" t="s">
        <v>121</v>
      </c>
      <c r="C142" s="8" t="n">
        <v>4</v>
      </c>
      <c r="D142" s="9" t="n">
        <v>64</v>
      </c>
      <c r="E142" s="9" t="n">
        <v>85</v>
      </c>
      <c r="F142" s="8" t="s">
        <v>92</v>
      </c>
      <c r="G142" s="8" t="s">
        <v>74</v>
      </c>
      <c r="H142" s="10" t="n">
        <v>0</v>
      </c>
      <c r="I142" s="10" t="n">
        <v>0.016</v>
      </c>
      <c r="J142" s="10" t="n">
        <v>0.013</v>
      </c>
      <c r="K142" s="8" t="n">
        <v>0</v>
      </c>
      <c r="L142" s="8" t="n">
        <v>15</v>
      </c>
      <c r="M142" s="10" t="n">
        <v>0.001</v>
      </c>
      <c r="N142" s="8" t="n">
        <v>0</v>
      </c>
      <c r="O142" s="9" t="n">
        <v>2</v>
      </c>
      <c r="P142" s="10" t="n">
        <f aca="false">IF(AND(ISNUMBER(O142),ISNUMBER(D142),D142&gt;0),O142/D142,"")</f>
        <v>0.03125</v>
      </c>
      <c r="Q142" s="9" t="n">
        <v>1</v>
      </c>
      <c r="R142" s="9" t="n">
        <v>1</v>
      </c>
      <c r="S142" s="9" t="n">
        <v>7</v>
      </c>
      <c r="T142" s="11" t="n">
        <f aca="false">IF(AND(ISNUMBER(S142),ISNUMBER(D142),D142&gt;0),S142/D142,"")</f>
        <v>0.109375</v>
      </c>
      <c r="U142" s="10" t="n">
        <v>0.08</v>
      </c>
      <c r="V142" s="10" t="n">
        <v>0.13</v>
      </c>
      <c r="W142" s="10" t="n">
        <v>0.13</v>
      </c>
      <c r="X142" s="10" t="n">
        <v>0.01</v>
      </c>
      <c r="Y142" s="8" t="n">
        <v>0</v>
      </c>
      <c r="Z142" s="8" t="s">
        <v>77</v>
      </c>
      <c r="AA142" s="8" t="n">
        <v>0</v>
      </c>
      <c r="AB142" s="8" t="n">
        <v>0</v>
      </c>
      <c r="AC142" s="11" t="n">
        <f aca="false">IF(AND(ISNUMBER(AA142),ISNUMBER(D142),D142&gt;0),AA142/D142*100,"")</f>
        <v>0</v>
      </c>
      <c r="AD142" s="12"/>
      <c r="AE142" s="8" t="s">
        <v>74</v>
      </c>
      <c r="AF142" s="8" t="s">
        <v>77</v>
      </c>
      <c r="AG142" s="12" t="n">
        <v>325</v>
      </c>
      <c r="AH142" s="12" t="n">
        <v>411.78</v>
      </c>
      <c r="AI142" s="12" t="n">
        <v>481.33</v>
      </c>
      <c r="AJ142" s="12" t="n">
        <v>542</v>
      </c>
      <c r="AK142" s="8" t="n">
        <v>32</v>
      </c>
      <c r="AL142" s="10" t="n">
        <v>1.3</v>
      </c>
      <c r="AM142" s="8" t="s">
        <v>77</v>
      </c>
      <c r="AN142" s="12"/>
      <c r="AO142" s="8" t="s">
        <v>74</v>
      </c>
      <c r="AP142" s="8" t="s">
        <v>74</v>
      </c>
      <c r="AQ142" s="10"/>
      <c r="AR142" s="8" t="n">
        <v>3</v>
      </c>
      <c r="AS142" s="8" t="n">
        <v>0</v>
      </c>
      <c r="AT142" s="8" t="n">
        <v>3</v>
      </c>
      <c r="AU142" s="8" t="n">
        <v>3</v>
      </c>
      <c r="AV142" s="8" t="n">
        <v>4</v>
      </c>
      <c r="AW142" s="8" t="n">
        <v>5</v>
      </c>
      <c r="AX142" s="8" t="n">
        <v>1</v>
      </c>
      <c r="AY142" s="8" t="n">
        <v>2</v>
      </c>
      <c r="AZ142" s="8" t="n">
        <v>5</v>
      </c>
      <c r="BA142" s="8" t="n">
        <v>4</v>
      </c>
      <c r="BB142" s="8" t="n">
        <v>3</v>
      </c>
      <c r="BC142" s="8" t="n">
        <v>5</v>
      </c>
      <c r="BD142" s="8" t="n">
        <v>1</v>
      </c>
      <c r="BE142" s="8" t="n">
        <v>1</v>
      </c>
      <c r="BF142" s="8" t="n">
        <v>3</v>
      </c>
      <c r="BG142" s="8" t="n">
        <v>3</v>
      </c>
      <c r="BH142" s="8" t="n">
        <v>4</v>
      </c>
      <c r="BI142" s="8" t="n">
        <v>3</v>
      </c>
      <c r="BJ142" s="9" t="n">
        <v>1</v>
      </c>
      <c r="BK142" s="9" t="n">
        <v>0</v>
      </c>
      <c r="BL142" s="9" t="n">
        <v>0</v>
      </c>
      <c r="BM142" s="9" t="n">
        <v>1</v>
      </c>
      <c r="BN142" s="10" t="n">
        <v>0</v>
      </c>
      <c r="BO142" s="10" t="n">
        <v>0</v>
      </c>
      <c r="BP142" s="10" t="n">
        <f aca="false">IF(AND(ISNUMBER(BN142),ISNUMBER(BO142)),BN142+BO142,"")</f>
        <v>0</v>
      </c>
      <c r="BQ142" s="10" t="n">
        <v>0</v>
      </c>
      <c r="BR142" s="10" t="n">
        <v>1</v>
      </c>
      <c r="BS142" s="10" t="n">
        <v>0</v>
      </c>
    </row>
    <row r="143" customFormat="false" ht="15" hidden="false" customHeight="false" outlineLevel="0" collapsed="false">
      <c r="A143" s="8" t="s">
        <v>100</v>
      </c>
      <c r="B143" s="8" t="s">
        <v>121</v>
      </c>
      <c r="C143" s="8" t="n">
        <v>4</v>
      </c>
      <c r="D143" s="9" t="n">
        <v>570</v>
      </c>
      <c r="E143" s="9" t="n">
        <v>72</v>
      </c>
      <c r="F143" s="8" t="s">
        <v>81</v>
      </c>
      <c r="G143" s="8" t="s">
        <v>74</v>
      </c>
      <c r="H143" s="10" t="n">
        <v>0</v>
      </c>
      <c r="I143" s="10" t="n">
        <v>0.044</v>
      </c>
      <c r="J143" s="10" t="n">
        <v>0.034</v>
      </c>
      <c r="K143" s="8" t="n">
        <v>0</v>
      </c>
      <c r="L143" s="8" t="n">
        <v>20</v>
      </c>
      <c r="M143" s="10" t="n">
        <v>0.124</v>
      </c>
      <c r="N143" s="8" t="n">
        <v>0</v>
      </c>
      <c r="O143" s="9" t="n">
        <v>33</v>
      </c>
      <c r="P143" s="10" t="n">
        <f aca="false">IF(AND(ISNUMBER(O143),ISNUMBER(D143),D143&gt;0),O143/D143,"")</f>
        <v>0.0578947368421053</v>
      </c>
      <c r="Q143" s="9" t="n">
        <v>94</v>
      </c>
      <c r="R143" s="9" t="n">
        <v>94</v>
      </c>
      <c r="S143" s="9" t="n">
        <v>181</v>
      </c>
      <c r="T143" s="11" t="n">
        <f aca="false">IF(AND(ISNUMBER(S143),ISNUMBER(D143),D143&gt;0),S143/D143,"")</f>
        <v>0.317543859649123</v>
      </c>
      <c r="U143" s="10" t="n">
        <v>0.07</v>
      </c>
      <c r="V143" s="10" t="n">
        <v>0.07</v>
      </c>
      <c r="W143" s="10" t="n">
        <v>0.07</v>
      </c>
      <c r="X143" s="10" t="n">
        <v>0.1</v>
      </c>
      <c r="Y143" s="8" t="n">
        <v>0</v>
      </c>
      <c r="Z143" s="8" t="s">
        <v>74</v>
      </c>
      <c r="AA143" s="8" t="n">
        <v>12</v>
      </c>
      <c r="AB143" s="8" t="n">
        <v>0</v>
      </c>
      <c r="AC143" s="11" t="n">
        <f aca="false">IF(AND(ISNUMBER(AA143),ISNUMBER(D143),D143&gt;0),AA143/D143*100,"")</f>
        <v>2.10526315789474</v>
      </c>
      <c r="AD143" s="12" t="n">
        <v>8000</v>
      </c>
      <c r="AE143" s="8" t="s">
        <v>74</v>
      </c>
      <c r="AF143" s="8" t="s">
        <v>77</v>
      </c>
      <c r="AG143" s="12" t="n">
        <v>345.89</v>
      </c>
      <c r="AH143" s="12" t="n">
        <v>416.64</v>
      </c>
      <c r="AI143" s="12" t="n">
        <v>463.81</v>
      </c>
      <c r="AJ143" s="12" t="n">
        <v>495.25</v>
      </c>
      <c r="AK143" s="8" t="n">
        <v>25</v>
      </c>
      <c r="AL143" s="10" t="n">
        <v>0.6</v>
      </c>
      <c r="AM143" s="8" t="s">
        <v>77</v>
      </c>
      <c r="AN143" s="12"/>
      <c r="AO143" s="8" t="s">
        <v>77</v>
      </c>
      <c r="AP143" s="8" t="s">
        <v>74</v>
      </c>
      <c r="AQ143" s="10" t="n">
        <v>0.9</v>
      </c>
      <c r="AR143" s="8" t="n">
        <v>4</v>
      </c>
      <c r="AS143" s="8" t="n">
        <v>2</v>
      </c>
      <c r="AT143" s="8" t="n">
        <v>1</v>
      </c>
      <c r="AU143" s="8" t="n">
        <v>4</v>
      </c>
      <c r="AV143" s="8" t="n">
        <v>1</v>
      </c>
      <c r="AW143" s="8" t="n">
        <v>1</v>
      </c>
      <c r="AX143" s="8" t="n">
        <v>1</v>
      </c>
      <c r="AY143" s="8" t="n">
        <v>2</v>
      </c>
      <c r="AZ143" s="8" t="n">
        <v>2</v>
      </c>
      <c r="BA143" s="8" t="n">
        <v>2</v>
      </c>
      <c r="BB143" s="8" t="n">
        <v>3</v>
      </c>
      <c r="BC143" s="8" t="n">
        <v>3</v>
      </c>
      <c r="BD143" s="8" t="n">
        <v>2</v>
      </c>
      <c r="BE143" s="8" t="n">
        <v>2</v>
      </c>
      <c r="BF143" s="8" t="n">
        <v>1</v>
      </c>
      <c r="BG143" s="8" t="n">
        <v>2</v>
      </c>
      <c r="BH143" s="8" t="n">
        <v>4</v>
      </c>
      <c r="BI143" s="8" t="n">
        <v>1</v>
      </c>
      <c r="BJ143" s="9" t="n">
        <v>35</v>
      </c>
      <c r="BK143" s="9" t="n">
        <v>0</v>
      </c>
      <c r="BL143" s="9" t="n">
        <v>6</v>
      </c>
      <c r="BM143" s="9" t="n">
        <v>0</v>
      </c>
      <c r="BN143" s="10" t="n">
        <v>0.7</v>
      </c>
      <c r="BO143" s="10" t="n">
        <v>0.1</v>
      </c>
      <c r="BP143" s="10" t="n">
        <f aca="false">IF(AND(ISNUMBER(BN143),ISNUMBER(BO143)),BN143+BO143,"")</f>
        <v>0.8</v>
      </c>
      <c r="BQ143" s="10" t="n">
        <v>0.2</v>
      </c>
      <c r="BR143" s="10" t="n">
        <v>0</v>
      </c>
      <c r="BS143" s="10" t="n">
        <v>0</v>
      </c>
    </row>
    <row r="144" customFormat="false" ht="15" hidden="false" customHeight="false" outlineLevel="0" collapsed="false">
      <c r="A144" s="8" t="s">
        <v>101</v>
      </c>
      <c r="B144" s="8" t="s">
        <v>121</v>
      </c>
      <c r="C144" s="8" t="n">
        <v>4</v>
      </c>
      <c r="D144" s="9" t="n">
        <v>330</v>
      </c>
      <c r="E144" s="9" t="n">
        <v>165</v>
      </c>
      <c r="F144" s="8" t="s">
        <v>92</v>
      </c>
      <c r="G144" s="8" t="s">
        <v>74</v>
      </c>
      <c r="H144" s="10"/>
      <c r="I144" s="10" t="n">
        <v>0.037</v>
      </c>
      <c r="J144" s="10" t="n">
        <v>0.01</v>
      </c>
      <c r="K144" s="8" t="n">
        <v>0</v>
      </c>
      <c r="L144" s="8" t="n">
        <v>7</v>
      </c>
      <c r="M144" s="10" t="n">
        <v>0.013</v>
      </c>
      <c r="N144" s="8" t="n">
        <v>0</v>
      </c>
      <c r="O144" s="9" t="n">
        <v>52</v>
      </c>
      <c r="P144" s="10" t="n">
        <f aca="false">IF(AND(ISNUMBER(O144),ISNUMBER(D144),D144&gt;0),O144/D144,"")</f>
        <v>0.157575757575758</v>
      </c>
      <c r="Q144" s="9" t="n">
        <v>0</v>
      </c>
      <c r="R144" s="9" t="n">
        <v>0</v>
      </c>
      <c r="S144" s="9" t="n">
        <v>5</v>
      </c>
      <c r="T144" s="11" t="n">
        <f aca="false">IF(AND(ISNUMBER(S144),ISNUMBER(D144),D144&gt;0),S144/D144,"")</f>
        <v>0.0151515151515152</v>
      </c>
      <c r="U144" s="10" t="n">
        <v>0.06</v>
      </c>
      <c r="V144" s="10" t="n">
        <v>0.07</v>
      </c>
      <c r="W144" s="10" t="n">
        <v>0.06</v>
      </c>
      <c r="X144" s="10" t="n">
        <v>0.12</v>
      </c>
      <c r="Y144" s="8" t="n">
        <v>0</v>
      </c>
      <c r="Z144" s="8" t="s">
        <v>74</v>
      </c>
      <c r="AA144" s="8" t="n">
        <v>27</v>
      </c>
      <c r="AB144" s="8" t="n">
        <v>0</v>
      </c>
      <c r="AC144" s="11" t="n">
        <f aca="false">IF(AND(ISNUMBER(AA144),ISNUMBER(D144),D144&gt;0),AA144/D144*100,"")</f>
        <v>8.18181818181818</v>
      </c>
      <c r="AD144" s="12" t="n">
        <v>2500</v>
      </c>
      <c r="AE144" s="8" t="s">
        <v>74</v>
      </c>
      <c r="AF144" s="8" t="s">
        <v>77</v>
      </c>
      <c r="AG144" s="12" t="n">
        <v>312.59</v>
      </c>
      <c r="AH144" s="12" t="n">
        <v>321.31</v>
      </c>
      <c r="AI144" s="12" t="n">
        <v>427.65</v>
      </c>
      <c r="AJ144" s="12" t="n">
        <v>427.65</v>
      </c>
      <c r="AK144" s="8" t="n">
        <v>15</v>
      </c>
      <c r="AL144" s="10" t="n">
        <v>0.25</v>
      </c>
      <c r="AM144" s="8" t="s">
        <v>74</v>
      </c>
      <c r="AN144" s="12" t="n">
        <v>62</v>
      </c>
      <c r="AO144" s="8" t="s">
        <v>77</v>
      </c>
      <c r="AP144" s="8" t="s">
        <v>74</v>
      </c>
      <c r="AQ144" s="10" t="n">
        <v>0.97</v>
      </c>
      <c r="AR144" s="8" t="n">
        <v>4</v>
      </c>
      <c r="AS144" s="8" t="n">
        <v>3</v>
      </c>
      <c r="AT144" s="8" t="n">
        <v>3</v>
      </c>
      <c r="AU144" s="8" t="n">
        <v>2</v>
      </c>
      <c r="AV144" s="8" t="n">
        <v>3</v>
      </c>
      <c r="AW144" s="8" t="n">
        <v>3</v>
      </c>
      <c r="AX144" s="8" t="n">
        <v>4</v>
      </c>
      <c r="AY144" s="8" t="n">
        <v>5</v>
      </c>
      <c r="AZ144" s="8" t="n">
        <v>1</v>
      </c>
      <c r="BA144" s="8" t="n">
        <v>2</v>
      </c>
      <c r="BB144" s="8" t="n">
        <v>1</v>
      </c>
      <c r="BC144" s="8" t="n">
        <v>4</v>
      </c>
      <c r="BD144" s="8" t="n">
        <v>3</v>
      </c>
      <c r="BE144" s="8" t="n">
        <v>3</v>
      </c>
      <c r="BF144" s="8" t="n">
        <v>1</v>
      </c>
      <c r="BG144" s="8" t="n">
        <v>1</v>
      </c>
      <c r="BH144" s="8" t="n">
        <v>3</v>
      </c>
      <c r="BI144" s="8" t="n">
        <v>3</v>
      </c>
      <c r="BJ144" s="9" t="n">
        <v>11</v>
      </c>
      <c r="BK144" s="9" t="n">
        <v>35</v>
      </c>
      <c r="BL144" s="9"/>
      <c r="BM144" s="9" t="n">
        <v>4</v>
      </c>
      <c r="BN144" s="10" t="n">
        <v>0.1</v>
      </c>
      <c r="BO144" s="10" t="n">
        <v>0.8</v>
      </c>
      <c r="BP144" s="10" t="n">
        <f aca="false">IF(AND(ISNUMBER(BN144),ISNUMBER(BO144)),BN144+BO144,"")</f>
        <v>0.9</v>
      </c>
      <c r="BQ144" s="10" t="n">
        <v>0.1</v>
      </c>
      <c r="BR144" s="10" t="n">
        <v>0</v>
      </c>
      <c r="BS144" s="10" t="n">
        <v>0</v>
      </c>
    </row>
    <row r="145" customFormat="false" ht="15" hidden="false" customHeight="false" outlineLevel="0" collapsed="false">
      <c r="A145" s="8" t="s">
        <v>102</v>
      </c>
      <c r="B145" s="8" t="s">
        <v>121</v>
      </c>
      <c r="C145" s="8" t="n">
        <v>4</v>
      </c>
      <c r="D145" s="9" t="n">
        <v>723</v>
      </c>
      <c r="E145" s="9" t="n">
        <v>71</v>
      </c>
      <c r="F145" s="8" t="s">
        <v>92</v>
      </c>
      <c r="G145" s="8" t="s">
        <v>74</v>
      </c>
      <c r="H145" s="10" t="n">
        <v>0.2</v>
      </c>
      <c r="I145" s="10" t="n">
        <v>0.036</v>
      </c>
      <c r="J145" s="10" t="n">
        <v>0.029</v>
      </c>
      <c r="K145" s="8" t="n">
        <v>0</v>
      </c>
      <c r="L145" s="8" t="n">
        <v>30</v>
      </c>
      <c r="M145" s="10" t="n">
        <v>0.01</v>
      </c>
      <c r="N145" s="8" t="n">
        <v>0</v>
      </c>
      <c r="O145" s="9" t="n">
        <v>150</v>
      </c>
      <c r="P145" s="10" t="n">
        <f aca="false">IF(AND(ISNUMBER(O145),ISNUMBER(D145),D145&gt;0),O145/D145,"")</f>
        <v>0.20746887966805</v>
      </c>
      <c r="Q145" s="9" t="n">
        <v>234</v>
      </c>
      <c r="R145" s="9" t="n">
        <v>33</v>
      </c>
      <c r="S145" s="9" t="n">
        <v>1226</v>
      </c>
      <c r="T145" s="11" t="n">
        <f aca="false">IF(AND(ISNUMBER(S145),ISNUMBER(D145),D145&gt;0),S145/D145,"")</f>
        <v>1.69571230982019</v>
      </c>
      <c r="U145" s="10" t="n">
        <v>0.06</v>
      </c>
      <c r="V145" s="10" t="n">
        <v>0.12</v>
      </c>
      <c r="W145" s="10" t="n">
        <v>0.08</v>
      </c>
      <c r="X145" s="10" t="n">
        <v>0.2</v>
      </c>
      <c r="Y145" s="8" t="n">
        <v>1</v>
      </c>
      <c r="Z145" s="8" t="s">
        <v>74</v>
      </c>
      <c r="AA145" s="8" t="n">
        <v>30</v>
      </c>
      <c r="AB145" s="8" t="n">
        <v>0</v>
      </c>
      <c r="AC145" s="11" t="n">
        <f aca="false">IF(AND(ISNUMBER(AA145),ISNUMBER(D145),D145&gt;0),AA145/D145*100,"")</f>
        <v>4.149377593361</v>
      </c>
      <c r="AD145" s="12" t="n">
        <v>1333</v>
      </c>
      <c r="AE145" s="8" t="s">
        <v>74</v>
      </c>
      <c r="AF145" s="8" t="s">
        <v>77</v>
      </c>
      <c r="AG145" s="12" t="n">
        <v>331.48</v>
      </c>
      <c r="AH145" s="12" t="n">
        <v>450.29</v>
      </c>
      <c r="AI145" s="12" t="n">
        <v>508.5</v>
      </c>
      <c r="AJ145" s="12" t="n">
        <v>725.58</v>
      </c>
      <c r="AK145" s="8" t="n">
        <v>20</v>
      </c>
      <c r="AL145" s="10" t="n">
        <v>0.5</v>
      </c>
      <c r="AM145" s="8" t="s">
        <v>77</v>
      </c>
      <c r="AN145" s="12"/>
      <c r="AO145" s="8" t="s">
        <v>77</v>
      </c>
      <c r="AP145" s="8" t="s">
        <v>74</v>
      </c>
      <c r="AQ145" s="10" t="n">
        <v>0.95</v>
      </c>
      <c r="AR145" s="8" t="n">
        <v>3</v>
      </c>
      <c r="AS145" s="8" t="n">
        <v>1</v>
      </c>
      <c r="AT145" s="8" t="n">
        <v>2</v>
      </c>
      <c r="AU145" s="8" t="n">
        <v>2</v>
      </c>
      <c r="AV145" s="8" t="n">
        <v>3</v>
      </c>
      <c r="AW145" s="8" t="n">
        <v>4</v>
      </c>
      <c r="AX145" s="8" t="n">
        <v>0</v>
      </c>
      <c r="AY145" s="8" t="n">
        <v>1</v>
      </c>
      <c r="AZ145" s="8" t="n">
        <v>3</v>
      </c>
      <c r="BA145" s="8" t="n">
        <v>3</v>
      </c>
      <c r="BB145" s="8" t="n">
        <v>2</v>
      </c>
      <c r="BC145" s="8" t="n">
        <v>3</v>
      </c>
      <c r="BD145" s="8" t="n">
        <v>1</v>
      </c>
      <c r="BE145" s="8" t="n">
        <v>1</v>
      </c>
      <c r="BF145" s="8" t="n">
        <v>1</v>
      </c>
      <c r="BG145" s="8" t="n">
        <v>1</v>
      </c>
      <c r="BH145" s="8" t="n">
        <v>3</v>
      </c>
      <c r="BI145" s="8" t="n">
        <v>3</v>
      </c>
      <c r="BJ145" s="9" t="n">
        <v>100</v>
      </c>
      <c r="BK145" s="9" t="n">
        <v>72</v>
      </c>
      <c r="BL145" s="9" t="n">
        <v>5</v>
      </c>
      <c r="BM145" s="9" t="n">
        <v>0</v>
      </c>
      <c r="BN145" s="10" t="n">
        <v>0.5</v>
      </c>
      <c r="BO145" s="10" t="n">
        <v>0.3</v>
      </c>
      <c r="BP145" s="10" t="n">
        <f aca="false">IF(AND(ISNUMBER(BN145),ISNUMBER(BO145)),BN145+BO145,"")</f>
        <v>0.8</v>
      </c>
      <c r="BQ145" s="10" t="n">
        <v>0.1</v>
      </c>
      <c r="BR145" s="10" t="n">
        <v>0.1</v>
      </c>
      <c r="BS145" s="10" t="n">
        <v>0</v>
      </c>
    </row>
    <row r="146" customFormat="false" ht="15" hidden="false" customHeight="false" outlineLevel="0" collapsed="false">
      <c r="A146" s="8" t="s">
        <v>103</v>
      </c>
      <c r="B146" s="8" t="s">
        <v>121</v>
      </c>
      <c r="C146" s="8" t="n">
        <v>4</v>
      </c>
      <c r="D146" s="9" t="n">
        <v>560</v>
      </c>
      <c r="E146" s="9" t="n">
        <v>95</v>
      </c>
      <c r="F146" s="8" t="s">
        <v>92</v>
      </c>
      <c r="G146" s="8" t="s">
        <v>74</v>
      </c>
      <c r="H146" s="10" t="n">
        <v>0</v>
      </c>
      <c r="I146" s="10" t="n">
        <v>0.024</v>
      </c>
      <c r="J146" s="10" t="n">
        <v>0.05</v>
      </c>
      <c r="K146" s="8" t="n">
        <v>0</v>
      </c>
      <c r="L146" s="8" t="n">
        <v>2</v>
      </c>
      <c r="M146" s="10" t="n">
        <v>0.024</v>
      </c>
      <c r="N146" s="8" t="n">
        <v>0</v>
      </c>
      <c r="O146" s="9" t="n">
        <v>67</v>
      </c>
      <c r="P146" s="10" t="n">
        <f aca="false">IF(AND(ISNUMBER(O146),ISNUMBER(D146),D146&gt;0),O146/D146,"")</f>
        <v>0.119642857142857</v>
      </c>
      <c r="Q146" s="9" t="n">
        <v>39</v>
      </c>
      <c r="R146" s="9" t="n">
        <v>3</v>
      </c>
      <c r="S146" s="9" t="n">
        <v>652</v>
      </c>
      <c r="T146" s="11" t="n">
        <f aca="false">IF(AND(ISNUMBER(S146),ISNUMBER(D146),D146&gt;0),S146/D146,"")</f>
        <v>1.16428571428571</v>
      </c>
      <c r="U146" s="10" t="n">
        <v>0.05</v>
      </c>
      <c r="V146" s="10" t="n">
        <v>0.085</v>
      </c>
      <c r="W146" s="10" t="n">
        <v>0.085</v>
      </c>
      <c r="X146" s="10" t="n">
        <v>0.07</v>
      </c>
      <c r="Y146" s="8" t="n">
        <v>0</v>
      </c>
      <c r="Z146" s="8" t="s">
        <v>74</v>
      </c>
      <c r="AA146" s="8" t="n">
        <v>15</v>
      </c>
      <c r="AB146" s="8" t="n">
        <v>0</v>
      </c>
      <c r="AC146" s="11" t="n">
        <f aca="false">IF(AND(ISNUMBER(AA146),ISNUMBER(D146),D146&gt;0),AA146/D146*100,"")</f>
        <v>2.67857142857143</v>
      </c>
      <c r="AD146" s="12" t="n">
        <v>998</v>
      </c>
      <c r="AE146" s="8"/>
      <c r="AF146" s="8" t="s">
        <v>77</v>
      </c>
      <c r="AG146" s="12" t="n">
        <v>316</v>
      </c>
      <c r="AH146" s="12" t="n">
        <v>342</v>
      </c>
      <c r="AI146" s="12" t="n">
        <v>399</v>
      </c>
      <c r="AJ146" s="12" t="n">
        <v>411</v>
      </c>
      <c r="AK146" s="8" t="n">
        <v>18</v>
      </c>
      <c r="AL146" s="10" t="n">
        <v>0.25</v>
      </c>
      <c r="AM146" s="8" t="s">
        <v>74</v>
      </c>
      <c r="AN146" s="12" t="n">
        <v>28</v>
      </c>
      <c r="AO146" s="8" t="s">
        <v>77</v>
      </c>
      <c r="AP146" s="8" t="s">
        <v>74</v>
      </c>
      <c r="AQ146" s="10" t="n">
        <v>0.83</v>
      </c>
      <c r="AR146" s="8" t="n">
        <v>2</v>
      </c>
      <c r="AS146" s="8" t="n">
        <v>2</v>
      </c>
      <c r="AT146" s="8" t="n">
        <v>0</v>
      </c>
      <c r="AU146" s="8" t="n">
        <v>1</v>
      </c>
      <c r="AV146" s="8" t="n">
        <v>0</v>
      </c>
      <c r="AW146" s="8" t="n">
        <v>0</v>
      </c>
      <c r="AX146" s="8" t="n">
        <v>1</v>
      </c>
      <c r="AY146" s="8" t="n">
        <v>1</v>
      </c>
      <c r="AZ146" s="8" t="n">
        <v>1</v>
      </c>
      <c r="BA146" s="8" t="n">
        <v>1</v>
      </c>
      <c r="BB146" s="8" t="n">
        <v>1</v>
      </c>
      <c r="BC146" s="8" t="n">
        <v>1</v>
      </c>
      <c r="BD146" s="8" t="n">
        <v>2</v>
      </c>
      <c r="BE146" s="8" t="n">
        <v>1</v>
      </c>
      <c r="BF146" s="8" t="n">
        <v>0</v>
      </c>
      <c r="BG146" s="8" t="n">
        <v>1</v>
      </c>
      <c r="BH146" s="8" t="n">
        <v>3</v>
      </c>
      <c r="BI146" s="8" t="n">
        <v>3</v>
      </c>
      <c r="BJ146" s="9" t="n">
        <v>56</v>
      </c>
      <c r="BK146" s="9" t="n">
        <v>16</v>
      </c>
      <c r="BL146" s="9"/>
      <c r="BM146" s="9" t="n">
        <v>3</v>
      </c>
      <c r="BN146" s="10" t="n">
        <v>0.3</v>
      </c>
      <c r="BO146" s="10" t="n">
        <v>0.3</v>
      </c>
      <c r="BP146" s="10" t="n">
        <f aca="false">IF(AND(ISNUMBER(BN146),ISNUMBER(BO146)),BN146+BO146,"")</f>
        <v>0.6</v>
      </c>
      <c r="BQ146" s="10" t="n">
        <v>0.2</v>
      </c>
      <c r="BR146" s="10" t="n">
        <v>0.1</v>
      </c>
      <c r="BS146" s="10" t="n">
        <v>0.1</v>
      </c>
    </row>
    <row r="147" customFormat="false" ht="15" hidden="false" customHeight="false" outlineLevel="0" collapsed="false">
      <c r="A147" s="8" t="s">
        <v>104</v>
      </c>
      <c r="B147" s="8" t="s">
        <v>121</v>
      </c>
      <c r="C147" s="8" t="n">
        <v>4</v>
      </c>
      <c r="D147" s="9" t="n">
        <v>439</v>
      </c>
      <c r="E147" s="9" t="n">
        <v>35</v>
      </c>
      <c r="F147" s="8" t="s">
        <v>76</v>
      </c>
      <c r="G147" s="8" t="s">
        <v>74</v>
      </c>
      <c r="H147" s="10"/>
      <c r="I147" s="10" t="n">
        <v>0.012</v>
      </c>
      <c r="J147" s="10" t="n">
        <v>0.1</v>
      </c>
      <c r="K147" s="8" t="n">
        <v>0</v>
      </c>
      <c r="L147" s="8"/>
      <c r="M147" s="10" t="n">
        <v>0.1</v>
      </c>
      <c r="N147" s="8" t="n">
        <v>0</v>
      </c>
      <c r="O147" s="9" t="n">
        <v>120</v>
      </c>
      <c r="P147" s="10" t="n">
        <f aca="false">IF(AND(ISNUMBER(O147),ISNUMBER(D147),D147&gt;0),O147/D147,"")</f>
        <v>0.273348519362187</v>
      </c>
      <c r="Q147" s="9"/>
      <c r="R147" s="9" t="n">
        <v>90</v>
      </c>
      <c r="S147" s="9" t="n">
        <v>134</v>
      </c>
      <c r="T147" s="11" t="n">
        <f aca="false">IF(AND(ISNUMBER(S147),ISNUMBER(D147),D147&gt;0),S147/D147,"")</f>
        <v>0.305239179954442</v>
      </c>
      <c r="U147" s="10" t="n">
        <v>0.06</v>
      </c>
      <c r="V147" s="10" t="n">
        <v>0.105</v>
      </c>
      <c r="W147" s="10" t="n">
        <v>0.12</v>
      </c>
      <c r="X147" s="10" t="n">
        <v>0.005</v>
      </c>
      <c r="Y147" s="8" t="n">
        <v>1</v>
      </c>
      <c r="Z147" s="8" t="s">
        <v>77</v>
      </c>
      <c r="AA147" s="8" t="n">
        <v>0</v>
      </c>
      <c r="AB147" s="8" t="n">
        <v>0</v>
      </c>
      <c r="AC147" s="11" t="n">
        <f aca="false">IF(AND(ISNUMBER(AA147),ISNUMBER(D147),D147&gt;0),AA147/D147*100,"")</f>
        <v>0</v>
      </c>
      <c r="AD147" s="12"/>
      <c r="AE147" s="8" t="s">
        <v>77</v>
      </c>
      <c r="AF147" s="8" t="s">
        <v>74</v>
      </c>
      <c r="AG147" s="12" t="n">
        <v>226</v>
      </c>
      <c r="AH147" s="12" t="n">
        <v>248.5</v>
      </c>
      <c r="AI147" s="12" t="n">
        <v>282</v>
      </c>
      <c r="AJ147" s="12" t="n">
        <v>423.5</v>
      </c>
      <c r="AK147" s="8" t="n">
        <v>32</v>
      </c>
      <c r="AL147" s="10" t="n">
        <v>0.5</v>
      </c>
      <c r="AM147" s="8" t="s">
        <v>77</v>
      </c>
      <c r="AN147" s="12"/>
      <c r="AO147" s="8" t="s">
        <v>77</v>
      </c>
      <c r="AP147" s="8" t="s">
        <v>74</v>
      </c>
      <c r="AQ147" s="10"/>
      <c r="AR147" s="8" t="n">
        <v>1</v>
      </c>
      <c r="AS147" s="8" t="n">
        <v>1</v>
      </c>
      <c r="AT147" s="8" t="n">
        <v>2</v>
      </c>
      <c r="AU147" s="8" t="n">
        <v>3</v>
      </c>
      <c r="AV147" s="8" t="n">
        <v>1</v>
      </c>
      <c r="AW147" s="8" t="n">
        <v>1</v>
      </c>
      <c r="AX147" s="8" t="n">
        <v>2</v>
      </c>
      <c r="AY147" s="8" t="n">
        <v>1</v>
      </c>
      <c r="AZ147" s="8" t="n">
        <v>1</v>
      </c>
      <c r="BA147" s="8" t="n">
        <v>1</v>
      </c>
      <c r="BB147" s="8" t="n">
        <v>3</v>
      </c>
      <c r="BC147" s="8" t="n">
        <v>3</v>
      </c>
      <c r="BD147" s="8" t="n">
        <v>1</v>
      </c>
      <c r="BE147" s="8" t="n">
        <v>1</v>
      </c>
      <c r="BF147" s="8" t="n">
        <v>0</v>
      </c>
      <c r="BG147" s="8" t="n">
        <v>0</v>
      </c>
      <c r="BH147" s="8" t="n">
        <v>4</v>
      </c>
      <c r="BI147" s="8" t="n">
        <v>5</v>
      </c>
      <c r="BJ147" s="9" t="n">
        <v>48</v>
      </c>
      <c r="BK147" s="9" t="n">
        <v>57</v>
      </c>
      <c r="BL147" s="9" t="n">
        <v>10</v>
      </c>
      <c r="BM147" s="9" t="n">
        <v>2</v>
      </c>
      <c r="BN147" s="10" t="n">
        <v>0.4</v>
      </c>
      <c r="BO147" s="10" t="n">
        <v>0.3</v>
      </c>
      <c r="BP147" s="10" t="n">
        <f aca="false">IF(AND(ISNUMBER(BN147),ISNUMBER(BO147)),BN147+BO147,"")</f>
        <v>0.7</v>
      </c>
      <c r="BQ147" s="10" t="n">
        <v>0.2</v>
      </c>
      <c r="BR147" s="10" t="n">
        <v>0.1</v>
      </c>
      <c r="BS147" s="10" t="n">
        <v>0</v>
      </c>
    </row>
    <row r="148" customFormat="false" ht="15" hidden="false" customHeight="false" outlineLevel="0" collapsed="false">
      <c r="A148" s="8" t="s">
        <v>105</v>
      </c>
      <c r="B148" s="8" t="s">
        <v>121</v>
      </c>
      <c r="C148" s="8" t="n">
        <v>4</v>
      </c>
      <c r="D148" s="9" t="n">
        <v>0</v>
      </c>
      <c r="E148" s="9" t="n">
        <v>12</v>
      </c>
      <c r="F148" s="8" t="s">
        <v>81</v>
      </c>
      <c r="G148" s="8" t="s">
        <v>77</v>
      </c>
      <c r="H148" s="10"/>
      <c r="I148" s="10" t="n">
        <v>0.001</v>
      </c>
      <c r="J148" s="10"/>
      <c r="K148" s="8" t="n">
        <v>0</v>
      </c>
      <c r="L148" s="8"/>
      <c r="M148" s="10" t="n">
        <v>0.001</v>
      </c>
      <c r="N148" s="8" t="n">
        <v>0</v>
      </c>
      <c r="O148" s="9" t="n">
        <v>0</v>
      </c>
      <c r="P148" s="10" t="str">
        <f aca="false">IF(AND(ISNUMBER(O148),ISNUMBER(D148),D148&gt;0),O148/D148,"")</f>
        <v/>
      </c>
      <c r="Q148" s="9" t="n">
        <v>0</v>
      </c>
      <c r="R148" s="9" t="n">
        <v>0</v>
      </c>
      <c r="S148" s="9" t="n">
        <v>0</v>
      </c>
      <c r="T148" s="11" t="str">
        <f aca="false">IF(AND(ISNUMBER(S148),ISNUMBER(D148),D148&gt;0),S148/D148,"")</f>
        <v/>
      </c>
      <c r="U148" s="10"/>
      <c r="V148" s="10"/>
      <c r="W148" s="10"/>
      <c r="X148" s="10"/>
      <c r="Y148" s="8" t="n">
        <v>0</v>
      </c>
      <c r="Z148" s="8" t="s">
        <v>77</v>
      </c>
      <c r="AA148" s="8" t="n">
        <v>0</v>
      </c>
      <c r="AB148" s="8" t="n">
        <v>0</v>
      </c>
      <c r="AC148" s="11" t="str">
        <f aca="false">IF(AND(ISNUMBER(AA148),ISNUMBER(D148),D148&gt;0),AA148/D148*100,"")</f>
        <v/>
      </c>
      <c r="AD148" s="12"/>
      <c r="AE148" s="8"/>
      <c r="AF148" s="8" t="s">
        <v>77</v>
      </c>
      <c r="AG148" s="12" t="n">
        <v>633.33</v>
      </c>
      <c r="AH148" s="12" t="n">
        <v>766.66</v>
      </c>
      <c r="AI148" s="12" t="n">
        <v>850</v>
      </c>
      <c r="AJ148" s="12" t="n">
        <v>900</v>
      </c>
      <c r="AK148" s="8"/>
      <c r="AL148" s="10"/>
      <c r="AM148" s="8" t="s">
        <v>77</v>
      </c>
      <c r="AN148" s="12"/>
      <c r="AO148" s="8" t="s">
        <v>77</v>
      </c>
      <c r="AP148" s="8"/>
      <c r="AQ148" s="10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9" t="n">
        <v>0</v>
      </c>
      <c r="BK148" s="9" t="n">
        <v>0</v>
      </c>
      <c r="BL148" s="9" t="n">
        <v>0</v>
      </c>
      <c r="BM148" s="9" t="n">
        <v>0</v>
      </c>
      <c r="BN148" s="10"/>
      <c r="BO148" s="10"/>
      <c r="BP148" s="10" t="str">
        <f aca="false">IF(AND(ISNUMBER(BN148),ISNUMBER(BO148)),BN148+BO148,"")</f>
        <v/>
      </c>
      <c r="BQ148" s="10"/>
      <c r="BR148" s="10"/>
      <c r="BS148" s="10"/>
    </row>
    <row r="149" customFormat="false" ht="15" hidden="false" customHeight="false" outlineLevel="0" collapsed="false">
      <c r="A149" s="8" t="s">
        <v>106</v>
      </c>
      <c r="B149" s="8" t="s">
        <v>121</v>
      </c>
      <c r="C149" s="8" t="n">
        <v>4</v>
      </c>
      <c r="D149" s="9" t="n">
        <v>1715</v>
      </c>
      <c r="E149" s="9" t="n">
        <v>455</v>
      </c>
      <c r="F149" s="8" t="s">
        <v>81</v>
      </c>
      <c r="G149" s="8" t="s">
        <v>74</v>
      </c>
      <c r="H149" s="10"/>
      <c r="I149" s="10" t="n">
        <v>0.052</v>
      </c>
      <c r="J149" s="10" t="n">
        <v>0.023</v>
      </c>
      <c r="K149" s="8" t="n">
        <v>0</v>
      </c>
      <c r="L149" s="8" t="n">
        <v>5</v>
      </c>
      <c r="M149" s="10" t="n">
        <v>0.012</v>
      </c>
      <c r="N149" s="8" t="n">
        <v>0</v>
      </c>
      <c r="O149" s="9" t="n">
        <v>104</v>
      </c>
      <c r="P149" s="10" t="n">
        <f aca="false">IF(AND(ISNUMBER(O149),ISNUMBER(D149),D149&gt;0),O149/D149,"")</f>
        <v>0.0606413994169096</v>
      </c>
      <c r="Q149" s="9" t="n">
        <v>154</v>
      </c>
      <c r="R149" s="9" t="n">
        <v>120</v>
      </c>
      <c r="S149" s="9" t="n">
        <v>1311</v>
      </c>
      <c r="T149" s="11" t="n">
        <f aca="false">IF(AND(ISNUMBER(S149),ISNUMBER(D149),D149&gt;0),S149/D149,"")</f>
        <v>0.764431486880467</v>
      </c>
      <c r="U149" s="10" t="n">
        <v>0.08</v>
      </c>
      <c r="V149" s="10" t="n">
        <v>0.08</v>
      </c>
      <c r="W149" s="10" t="n">
        <v>0.08</v>
      </c>
      <c r="X149" s="10"/>
      <c r="Y149" s="8" t="n">
        <v>0</v>
      </c>
      <c r="Z149" s="8" t="s">
        <v>74</v>
      </c>
      <c r="AA149" s="8" t="n">
        <v>9</v>
      </c>
      <c r="AB149" s="8" t="n">
        <v>0</v>
      </c>
      <c r="AC149" s="11" t="n">
        <f aca="false">IF(AND(ISNUMBER(AA149),ISNUMBER(D149),D149&gt;0),AA149/D149*100,"")</f>
        <v>0.524781341107872</v>
      </c>
      <c r="AD149" s="12" t="n">
        <v>1500</v>
      </c>
      <c r="AE149" s="8" t="s">
        <v>77</v>
      </c>
      <c r="AF149" s="8" t="s">
        <v>74</v>
      </c>
      <c r="AG149" s="12" t="n">
        <v>350</v>
      </c>
      <c r="AH149" s="12" t="n">
        <v>444</v>
      </c>
      <c r="AI149" s="12" t="n">
        <v>532</v>
      </c>
      <c r="AJ149" s="12" t="n">
        <v>757</v>
      </c>
      <c r="AK149" s="8" t="n">
        <v>22</v>
      </c>
      <c r="AL149" s="10" t="n">
        <v>0.5</v>
      </c>
      <c r="AM149" s="8" t="s">
        <v>77</v>
      </c>
      <c r="AN149" s="12"/>
      <c r="AO149" s="8" t="s">
        <v>77</v>
      </c>
      <c r="AP149" s="8" t="s">
        <v>74</v>
      </c>
      <c r="AQ149" s="10" t="n">
        <v>0.85</v>
      </c>
      <c r="AR149" s="8" t="n">
        <v>3</v>
      </c>
      <c r="AS149" s="8" t="n">
        <v>3</v>
      </c>
      <c r="AT149" s="8" t="n">
        <v>3</v>
      </c>
      <c r="AU149" s="8" t="n">
        <v>3</v>
      </c>
      <c r="AV149" s="8" t="n">
        <v>2</v>
      </c>
      <c r="AW149" s="8" t="n">
        <v>0</v>
      </c>
      <c r="AX149" s="8" t="n">
        <v>3</v>
      </c>
      <c r="AY149" s="8" t="n">
        <v>4</v>
      </c>
      <c r="AZ149" s="8" t="n">
        <v>2</v>
      </c>
      <c r="BA149" s="8" t="n">
        <v>2</v>
      </c>
      <c r="BB149" s="8" t="n">
        <v>2</v>
      </c>
      <c r="BC149" s="8" t="n">
        <v>4</v>
      </c>
      <c r="BD149" s="8" t="n">
        <v>0</v>
      </c>
      <c r="BE149" s="8" t="n">
        <v>0</v>
      </c>
      <c r="BF149" s="8" t="n">
        <v>2</v>
      </c>
      <c r="BG149" s="8" t="n">
        <v>2</v>
      </c>
      <c r="BH149" s="8" t="n">
        <v>2</v>
      </c>
      <c r="BI149" s="8" t="n">
        <v>4</v>
      </c>
      <c r="BJ149" s="9" t="n">
        <v>37</v>
      </c>
      <c r="BK149" s="9" t="n">
        <v>40</v>
      </c>
      <c r="BL149" s="9" t="n">
        <v>15</v>
      </c>
      <c r="BM149" s="9" t="n">
        <v>7</v>
      </c>
      <c r="BN149" s="10" t="n">
        <v>0.6</v>
      </c>
      <c r="BO149" s="10" t="n">
        <v>0.2</v>
      </c>
      <c r="BP149" s="10" t="n">
        <f aca="false">IF(AND(ISNUMBER(BN149),ISNUMBER(BO149)),BN149+BO149,"")</f>
        <v>0.8</v>
      </c>
      <c r="BQ149" s="10" t="n">
        <v>0.1</v>
      </c>
      <c r="BR149" s="10" t="n">
        <v>0</v>
      </c>
      <c r="BS149" s="10" t="n">
        <v>0.1</v>
      </c>
    </row>
    <row r="150" customFormat="false" ht="15" hidden="false" customHeight="false" outlineLevel="0" collapsed="false">
      <c r="A150" s="8" t="s">
        <v>107</v>
      </c>
      <c r="B150" s="8" t="s">
        <v>121</v>
      </c>
      <c r="C150" s="8" t="n">
        <v>4</v>
      </c>
      <c r="D150" s="9" t="n">
        <v>715</v>
      </c>
      <c r="E150" s="9" t="n">
        <v>277</v>
      </c>
      <c r="F150" s="8" t="s">
        <v>73</v>
      </c>
      <c r="G150" s="8" t="s">
        <v>74</v>
      </c>
      <c r="H150" s="10" t="n">
        <v>0.8</v>
      </c>
      <c r="I150" s="10" t="n">
        <v>0.055</v>
      </c>
      <c r="J150" s="10" t="n">
        <v>0.15</v>
      </c>
      <c r="K150" s="8" t="n">
        <v>1</v>
      </c>
      <c r="L150" s="8" t="n">
        <v>7</v>
      </c>
      <c r="M150" s="10" t="n">
        <v>0.04</v>
      </c>
      <c r="N150" s="8" t="n">
        <v>0</v>
      </c>
      <c r="O150" s="9" t="n">
        <v>118</v>
      </c>
      <c r="P150" s="10" t="n">
        <f aca="false">IF(AND(ISNUMBER(O150),ISNUMBER(D150),D150&gt;0),O150/D150,"")</f>
        <v>0.165034965034965</v>
      </c>
      <c r="Q150" s="9" t="n">
        <v>134</v>
      </c>
      <c r="R150" s="9" t="n">
        <v>110</v>
      </c>
      <c r="S150" s="9" t="n">
        <v>476</v>
      </c>
      <c r="T150" s="11" t="n">
        <f aca="false">IF(AND(ISNUMBER(S150),ISNUMBER(D150),D150&gt;0),S150/D150,"")</f>
        <v>0.665734265734266</v>
      </c>
      <c r="U150" s="10" t="n">
        <v>0.06</v>
      </c>
      <c r="V150" s="10" t="n">
        <v>0.1</v>
      </c>
      <c r="W150" s="10" t="n">
        <v>0.07</v>
      </c>
      <c r="X150" s="10" t="n">
        <v>0.11</v>
      </c>
      <c r="Y150" s="8" t="n">
        <v>0</v>
      </c>
      <c r="Z150" s="8" t="s">
        <v>74</v>
      </c>
      <c r="AA150" s="8" t="n">
        <v>11</v>
      </c>
      <c r="AB150" s="8" t="n">
        <v>0</v>
      </c>
      <c r="AC150" s="11" t="n">
        <f aca="false">IF(AND(ISNUMBER(AA150),ISNUMBER(D150),D150&gt;0),AA150/D150*100,"")</f>
        <v>1.53846153846154</v>
      </c>
      <c r="AD150" s="12" t="n">
        <v>1700</v>
      </c>
      <c r="AE150" s="8" t="s">
        <v>74</v>
      </c>
      <c r="AF150" s="8" t="s">
        <v>77</v>
      </c>
      <c r="AG150" s="12" t="n">
        <v>290.25</v>
      </c>
      <c r="AH150" s="12" t="n">
        <v>330.82</v>
      </c>
      <c r="AI150" s="12" t="n">
        <v>502.03</v>
      </c>
      <c r="AJ150" s="12" t="n">
        <v>590</v>
      </c>
      <c r="AK150" s="8" t="n">
        <v>26</v>
      </c>
      <c r="AL150" s="10" t="n">
        <v>0.4</v>
      </c>
      <c r="AM150" s="8" t="s">
        <v>74</v>
      </c>
      <c r="AN150" s="12" t="n">
        <v>22</v>
      </c>
      <c r="AO150" s="8" t="s">
        <v>74</v>
      </c>
      <c r="AP150" s="8" t="s">
        <v>74</v>
      </c>
      <c r="AQ150" s="10" t="n">
        <v>0.98</v>
      </c>
      <c r="AR150" s="8" t="n">
        <v>3</v>
      </c>
      <c r="AS150" s="8" t="n">
        <v>2</v>
      </c>
      <c r="AT150" s="8" t="n">
        <v>1</v>
      </c>
      <c r="AU150" s="8" t="n">
        <v>1</v>
      </c>
      <c r="AV150" s="8" t="n">
        <v>1</v>
      </c>
      <c r="AW150" s="8" t="n">
        <v>0</v>
      </c>
      <c r="AX150" s="8" t="n">
        <v>1</v>
      </c>
      <c r="AY150" s="8" t="n">
        <v>2</v>
      </c>
      <c r="AZ150" s="8" t="n">
        <v>2</v>
      </c>
      <c r="BA150" s="8" t="n">
        <v>2</v>
      </c>
      <c r="BB150" s="8" t="n">
        <v>1</v>
      </c>
      <c r="BC150" s="8" t="n">
        <v>3</v>
      </c>
      <c r="BD150" s="8" t="n">
        <v>1</v>
      </c>
      <c r="BE150" s="8" t="n">
        <v>1</v>
      </c>
      <c r="BF150" s="8" t="n">
        <v>1</v>
      </c>
      <c r="BG150" s="8" t="n">
        <v>1</v>
      </c>
      <c r="BH150" s="8" t="n">
        <v>3</v>
      </c>
      <c r="BI150" s="8" t="n">
        <v>0</v>
      </c>
      <c r="BJ150" s="9" t="n">
        <v>81</v>
      </c>
      <c r="BK150" s="9" t="n">
        <v>39</v>
      </c>
      <c r="BL150" s="9"/>
      <c r="BM150" s="9" t="n">
        <v>20</v>
      </c>
      <c r="BN150" s="10" t="n">
        <v>0.1</v>
      </c>
      <c r="BO150" s="10" t="n">
        <v>0.2</v>
      </c>
      <c r="BP150" s="10" t="n">
        <f aca="false">IF(AND(ISNUMBER(BN150),ISNUMBER(BO150)),BN150+BO150,"")</f>
        <v>0.3</v>
      </c>
      <c r="BQ150" s="10" t="n">
        <v>0</v>
      </c>
      <c r="BR150" s="10" t="n">
        <v>0.6</v>
      </c>
      <c r="BS150" s="10" t="n">
        <v>0.1</v>
      </c>
    </row>
    <row r="151" customFormat="false" ht="15" hidden="false" customHeight="false" outlineLevel="0" collapsed="false">
      <c r="A151" s="8" t="s">
        <v>108</v>
      </c>
      <c r="B151" s="8" t="s">
        <v>121</v>
      </c>
      <c r="C151" s="8" t="n">
        <v>4</v>
      </c>
      <c r="D151" s="9" t="n">
        <v>132</v>
      </c>
      <c r="E151" s="9" t="n">
        <v>48</v>
      </c>
      <c r="F151" s="8" t="s">
        <v>73</v>
      </c>
      <c r="G151" s="8" t="s">
        <v>77</v>
      </c>
      <c r="H151" s="10" t="n">
        <v>0.6</v>
      </c>
      <c r="I151" s="10" t="n">
        <v>0.033</v>
      </c>
      <c r="J151" s="10" t="n">
        <v>0.032</v>
      </c>
      <c r="K151" s="8" t="n">
        <v>0</v>
      </c>
      <c r="L151" s="8" t="n">
        <v>4</v>
      </c>
      <c r="M151" s="10" t="n">
        <v>0.021</v>
      </c>
      <c r="N151" s="8" t="n">
        <v>0</v>
      </c>
      <c r="O151" s="9" t="n">
        <v>3</v>
      </c>
      <c r="P151" s="10" t="n">
        <f aca="false">IF(AND(ISNUMBER(O151),ISNUMBER(D151),D151&gt;0),O151/D151,"")</f>
        <v>0.0227272727272727</v>
      </c>
      <c r="Q151" s="9"/>
      <c r="R151" s="9" t="n">
        <v>3</v>
      </c>
      <c r="S151" s="9" t="n">
        <v>124</v>
      </c>
      <c r="T151" s="11" t="n">
        <f aca="false">IF(AND(ISNUMBER(S151),ISNUMBER(D151),D151&gt;0),S151/D151,"")</f>
        <v>0.939393939393939</v>
      </c>
      <c r="U151" s="10" t="n">
        <v>0.08</v>
      </c>
      <c r="V151" s="10" t="n">
        <v>0.1</v>
      </c>
      <c r="W151" s="10" t="n">
        <v>0.1</v>
      </c>
      <c r="X151" s="10" t="n">
        <v>0.05</v>
      </c>
      <c r="Y151" s="8" t="n">
        <v>0</v>
      </c>
      <c r="Z151" s="8" t="s">
        <v>74</v>
      </c>
      <c r="AA151" s="8" t="n">
        <v>2</v>
      </c>
      <c r="AB151" s="8" t="n">
        <v>0</v>
      </c>
      <c r="AC151" s="11" t="n">
        <f aca="false">IF(AND(ISNUMBER(AA151),ISNUMBER(D151),D151&gt;0),AA151/D151*100,"")</f>
        <v>1.51515151515152</v>
      </c>
      <c r="AD151" s="12" t="n">
        <v>1200</v>
      </c>
      <c r="AE151" s="8" t="s">
        <v>77</v>
      </c>
      <c r="AF151" s="8" t="s">
        <v>74</v>
      </c>
      <c r="AG151" s="12" t="n">
        <v>304</v>
      </c>
      <c r="AH151" s="12" t="n">
        <v>320.76</v>
      </c>
      <c r="AI151" s="12" t="n">
        <v>388.12</v>
      </c>
      <c r="AJ151" s="12" t="n">
        <v>575</v>
      </c>
      <c r="AK151" s="8" t="n">
        <v>20</v>
      </c>
      <c r="AL151" s="10" t="n">
        <v>0.25</v>
      </c>
      <c r="AM151" s="8" t="s">
        <v>77</v>
      </c>
      <c r="AN151" s="12"/>
      <c r="AO151" s="8" t="s">
        <v>77</v>
      </c>
      <c r="AP151" s="8" t="s">
        <v>77</v>
      </c>
      <c r="AQ151" s="10" t="n">
        <v>0.8</v>
      </c>
      <c r="AR151" s="8" t="n">
        <v>3</v>
      </c>
      <c r="AS151" s="8" t="n">
        <v>2</v>
      </c>
      <c r="AT151" s="8" t="n">
        <v>3</v>
      </c>
      <c r="AU151" s="8" t="n">
        <v>1</v>
      </c>
      <c r="AV151" s="8" t="n">
        <v>1</v>
      </c>
      <c r="AW151" s="8" t="n">
        <v>0</v>
      </c>
      <c r="AX151" s="8" t="n">
        <v>1</v>
      </c>
      <c r="AY151" s="8" t="n">
        <v>1</v>
      </c>
      <c r="AZ151" s="8" t="n">
        <v>2</v>
      </c>
      <c r="BA151" s="8" t="n">
        <v>3</v>
      </c>
      <c r="BB151" s="8" t="n">
        <v>2</v>
      </c>
      <c r="BC151" s="8" t="n">
        <v>3</v>
      </c>
      <c r="BD151" s="8"/>
      <c r="BE151" s="8" t="n">
        <v>2</v>
      </c>
      <c r="BF151" s="8" t="n">
        <v>0</v>
      </c>
      <c r="BG151" s="8" t="n">
        <v>1</v>
      </c>
      <c r="BH151" s="8" t="n">
        <v>3</v>
      </c>
      <c r="BI151" s="8" t="n">
        <v>3</v>
      </c>
      <c r="BJ151" s="9" t="n">
        <v>1</v>
      </c>
      <c r="BK151" s="9" t="n">
        <v>0</v>
      </c>
      <c r="BL151" s="9" t="n">
        <v>1</v>
      </c>
      <c r="BM151" s="9" t="n">
        <v>1</v>
      </c>
      <c r="BN151" s="10" t="n">
        <v>0.9</v>
      </c>
      <c r="BO151" s="10" t="n">
        <v>0</v>
      </c>
      <c r="BP151" s="10" t="n">
        <f aca="false">IF(AND(ISNUMBER(BN151),ISNUMBER(BO151)),BN151+BO151,"")</f>
        <v>0.9</v>
      </c>
      <c r="BQ151" s="10" t="n">
        <v>0</v>
      </c>
      <c r="BR151" s="10" t="n">
        <v>0.1</v>
      </c>
      <c r="BS151" s="10" t="n">
        <v>0</v>
      </c>
    </row>
    <row r="152" customFormat="false" ht="15" hidden="false" customHeight="false" outlineLevel="0" collapsed="false">
      <c r="A152" s="8" t="s">
        <v>109</v>
      </c>
      <c r="B152" s="8" t="s">
        <v>121</v>
      </c>
      <c r="C152" s="8" t="n">
        <v>4</v>
      </c>
      <c r="D152" s="9" t="n">
        <v>250</v>
      </c>
      <c r="E152" s="9" t="n">
        <v>506</v>
      </c>
      <c r="F152" s="8" t="s">
        <v>92</v>
      </c>
      <c r="G152" s="8" t="s">
        <v>74</v>
      </c>
      <c r="H152" s="10" t="n">
        <v>0.2</v>
      </c>
      <c r="I152" s="10" t="n">
        <v>0.021</v>
      </c>
      <c r="J152" s="10" t="n">
        <v>0.004</v>
      </c>
      <c r="K152" s="8" t="n">
        <v>0</v>
      </c>
      <c r="L152" s="8" t="n">
        <v>7</v>
      </c>
      <c r="M152" s="10" t="n">
        <v>0.007</v>
      </c>
      <c r="N152" s="8" t="n">
        <v>0</v>
      </c>
      <c r="O152" s="9" t="n">
        <v>16</v>
      </c>
      <c r="P152" s="10" t="n">
        <f aca="false">IF(AND(ISNUMBER(O152),ISNUMBER(D152),D152&gt;0),O152/D152,"")</f>
        <v>0.064</v>
      </c>
      <c r="Q152" s="9" t="n">
        <v>22</v>
      </c>
      <c r="R152" s="9" t="n">
        <v>22</v>
      </c>
      <c r="S152" s="9" t="n">
        <v>40</v>
      </c>
      <c r="T152" s="11" t="n">
        <f aca="false">IF(AND(ISNUMBER(S152),ISNUMBER(D152),D152&gt;0),S152/D152,"")</f>
        <v>0.16</v>
      </c>
      <c r="U152" s="10" t="n">
        <v>0.065</v>
      </c>
      <c r="V152" s="10" t="n">
        <v>0.09</v>
      </c>
      <c r="W152" s="10" t="n">
        <v>0.07</v>
      </c>
      <c r="X152" s="10"/>
      <c r="Y152" s="8" t="n">
        <v>0</v>
      </c>
      <c r="Z152" s="8" t="s">
        <v>74</v>
      </c>
      <c r="AA152" s="8" t="n">
        <v>10</v>
      </c>
      <c r="AB152" s="8" t="n">
        <v>0</v>
      </c>
      <c r="AC152" s="11" t="n">
        <f aca="false">IF(AND(ISNUMBER(AA152),ISNUMBER(D152),D152&gt;0),AA152/D152*100,"")</f>
        <v>4</v>
      </c>
      <c r="AD152" s="12" t="n">
        <v>1800</v>
      </c>
      <c r="AE152" s="8" t="s">
        <v>74</v>
      </c>
      <c r="AF152" s="8" t="s">
        <v>77</v>
      </c>
      <c r="AG152" s="12" t="n">
        <v>325</v>
      </c>
      <c r="AH152" s="12" t="n">
        <v>372</v>
      </c>
      <c r="AI152" s="12" t="n">
        <v>430</v>
      </c>
      <c r="AJ152" s="12" t="n">
        <v>499</v>
      </c>
      <c r="AK152" s="8" t="n">
        <v>20</v>
      </c>
      <c r="AL152" s="10" t="n">
        <v>0.4</v>
      </c>
      <c r="AM152" s="8" t="s">
        <v>74</v>
      </c>
      <c r="AN152" s="12" t="n">
        <v>34</v>
      </c>
      <c r="AO152" s="8" t="s">
        <v>77</v>
      </c>
      <c r="AP152" s="8" t="s">
        <v>74</v>
      </c>
      <c r="AQ152" s="10" t="n">
        <v>0.9</v>
      </c>
      <c r="AR152" s="8" t="n">
        <v>3</v>
      </c>
      <c r="AS152" s="8" t="n">
        <v>0</v>
      </c>
      <c r="AT152" s="8" t="n">
        <v>0</v>
      </c>
      <c r="AU152" s="8" t="n">
        <v>0</v>
      </c>
      <c r="AV152" s="8" t="n">
        <v>0</v>
      </c>
      <c r="AW152" s="8" t="n">
        <v>0</v>
      </c>
      <c r="AX152" s="8" t="n">
        <v>0</v>
      </c>
      <c r="AY152" s="8" t="n">
        <v>0</v>
      </c>
      <c r="AZ152" s="8" t="n">
        <v>2</v>
      </c>
      <c r="BA152" s="8" t="n">
        <v>2</v>
      </c>
      <c r="BB152" s="8" t="n">
        <v>2</v>
      </c>
      <c r="BC152" s="8" t="n">
        <v>3</v>
      </c>
      <c r="BD152" s="8" t="n">
        <v>1</v>
      </c>
      <c r="BE152" s="8" t="n">
        <v>0</v>
      </c>
      <c r="BF152" s="8" t="n">
        <v>0</v>
      </c>
      <c r="BG152" s="8" t="n">
        <v>0</v>
      </c>
      <c r="BH152" s="8" t="n">
        <v>0</v>
      </c>
      <c r="BI152" s="8" t="n">
        <v>3</v>
      </c>
      <c r="BJ152" s="9" t="n">
        <v>10</v>
      </c>
      <c r="BK152" s="9" t="n">
        <v>1</v>
      </c>
      <c r="BL152" s="9" t="n">
        <v>3</v>
      </c>
      <c r="BM152" s="9" t="n">
        <v>6</v>
      </c>
      <c r="BN152" s="10" t="n">
        <v>0.4</v>
      </c>
      <c r="BO152" s="10" t="n">
        <v>0.2</v>
      </c>
      <c r="BP152" s="10" t="n">
        <f aca="false">IF(AND(ISNUMBER(BN152),ISNUMBER(BO152)),BN152+BO152,"")</f>
        <v>0.6</v>
      </c>
      <c r="BQ152" s="10" t="n">
        <v>0.1</v>
      </c>
      <c r="BR152" s="10" t="n">
        <v>0.1</v>
      </c>
      <c r="BS152" s="10" t="n">
        <v>0.2</v>
      </c>
    </row>
    <row r="153" customFormat="false" ht="15" hidden="false" customHeight="false" outlineLevel="0" collapsed="false">
      <c r="A153" s="8" t="s">
        <v>110</v>
      </c>
      <c r="B153" s="8" t="s">
        <v>121</v>
      </c>
      <c r="C153" s="8" t="n">
        <v>4</v>
      </c>
      <c r="D153" s="9" t="n">
        <v>44</v>
      </c>
      <c r="E153" s="9" t="n">
        <v>52</v>
      </c>
      <c r="F153" s="8" t="s">
        <v>81</v>
      </c>
      <c r="G153" s="8" t="s">
        <v>74</v>
      </c>
      <c r="H153" s="10" t="n">
        <v>0</v>
      </c>
      <c r="I153" s="10" t="n">
        <v>0.011</v>
      </c>
      <c r="J153" s="10"/>
      <c r="K153" s="8" t="n">
        <v>0</v>
      </c>
      <c r="L153" s="8"/>
      <c r="M153" s="10"/>
      <c r="N153" s="8" t="n">
        <v>0</v>
      </c>
      <c r="O153" s="9" t="n">
        <v>0</v>
      </c>
      <c r="P153" s="10" t="n">
        <f aca="false">IF(AND(ISNUMBER(O153),ISNUMBER(D153),D153&gt;0),O153/D153,"")</f>
        <v>0</v>
      </c>
      <c r="Q153" s="9"/>
      <c r="R153" s="9" t="n">
        <v>8</v>
      </c>
      <c r="S153" s="9" t="n">
        <v>14</v>
      </c>
      <c r="T153" s="11" t="n">
        <f aca="false">IF(AND(ISNUMBER(S153),ISNUMBER(D153),D153&gt;0),S153/D153,"")</f>
        <v>0.318181818181818</v>
      </c>
      <c r="U153" s="10" t="n">
        <v>0.06</v>
      </c>
      <c r="V153" s="10" t="n">
        <v>0.08</v>
      </c>
      <c r="W153" s="10" t="n">
        <v>0.13</v>
      </c>
      <c r="X153" s="10"/>
      <c r="Y153" s="8" t="n">
        <v>0</v>
      </c>
      <c r="Z153" s="8" t="s">
        <v>74</v>
      </c>
      <c r="AA153" s="8" t="n">
        <v>4</v>
      </c>
      <c r="AB153" s="8" t="n">
        <v>0</v>
      </c>
      <c r="AC153" s="11" t="n">
        <f aca="false">IF(AND(ISNUMBER(AA153),ISNUMBER(D153),D153&gt;0),AA153/D153*100,"")</f>
        <v>9.09090909090909</v>
      </c>
      <c r="AD153" s="12" t="n">
        <v>2417.58</v>
      </c>
      <c r="AE153" s="8" t="s">
        <v>74</v>
      </c>
      <c r="AF153" s="8" t="s">
        <v>77</v>
      </c>
      <c r="AG153" s="12" t="n">
        <v>321.73</v>
      </c>
      <c r="AH153" s="12" t="n">
        <v>355.29</v>
      </c>
      <c r="AI153" s="12" t="n">
        <v>473.6</v>
      </c>
      <c r="AJ153" s="12" t="n">
        <v>568.47</v>
      </c>
      <c r="AK153" s="8" t="n">
        <v>21</v>
      </c>
      <c r="AL153" s="10" t="n">
        <v>0.5</v>
      </c>
      <c r="AM153" s="8" t="s">
        <v>77</v>
      </c>
      <c r="AN153" s="12"/>
      <c r="AO153" s="8" t="s">
        <v>74</v>
      </c>
      <c r="AP153" s="8" t="s">
        <v>74</v>
      </c>
      <c r="AQ153" s="10" t="n">
        <v>0.7</v>
      </c>
      <c r="AR153" s="8" t="n">
        <v>1</v>
      </c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 t="n">
        <v>1</v>
      </c>
      <c r="BJ153" s="9" t="n">
        <v>1</v>
      </c>
      <c r="BK153" s="9" t="n">
        <v>0</v>
      </c>
      <c r="BL153" s="9" t="n">
        <v>0</v>
      </c>
      <c r="BM153" s="9" t="n">
        <v>0</v>
      </c>
      <c r="BN153" s="10" t="n">
        <v>0</v>
      </c>
      <c r="BO153" s="10" t="n">
        <v>0.2</v>
      </c>
      <c r="BP153" s="10" t="n">
        <f aca="false">IF(AND(ISNUMBER(BN153),ISNUMBER(BO153)),BN153+BO153,"")</f>
        <v>0.2</v>
      </c>
      <c r="BQ153" s="10" t="n">
        <v>0</v>
      </c>
      <c r="BR153" s="10" t="n">
        <v>0</v>
      </c>
      <c r="BS153" s="10" t="n">
        <v>0.8</v>
      </c>
    </row>
    <row r="154" customFormat="false" ht="15" hidden="false" customHeight="false" outlineLevel="0" collapsed="false">
      <c r="A154" s="8" t="s">
        <v>111</v>
      </c>
      <c r="B154" s="8" t="s">
        <v>121</v>
      </c>
      <c r="C154" s="8" t="n">
        <v>4</v>
      </c>
      <c r="D154" s="9" t="n">
        <v>93</v>
      </c>
      <c r="E154" s="9" t="n">
        <v>64</v>
      </c>
      <c r="F154" s="8" t="s">
        <v>73</v>
      </c>
      <c r="G154" s="8" t="s">
        <v>74</v>
      </c>
      <c r="H154" s="10" t="n">
        <v>0</v>
      </c>
      <c r="I154" s="10" t="n">
        <v>0.01</v>
      </c>
      <c r="J154" s="10" t="n">
        <v>0.012</v>
      </c>
      <c r="K154" s="8" t="n">
        <v>0</v>
      </c>
      <c r="L154" s="8" t="n">
        <v>15</v>
      </c>
      <c r="M154" s="10" t="n">
        <v>0.005</v>
      </c>
      <c r="N154" s="8" t="n">
        <v>0</v>
      </c>
      <c r="O154" s="9" t="n">
        <v>5</v>
      </c>
      <c r="P154" s="10" t="n">
        <f aca="false">IF(AND(ISNUMBER(O154),ISNUMBER(D154),D154&gt;0),O154/D154,"")</f>
        <v>0.0537634408602151</v>
      </c>
      <c r="Q154" s="9" t="n">
        <v>1</v>
      </c>
      <c r="R154" s="9" t="n">
        <v>0</v>
      </c>
      <c r="S154" s="9" t="n">
        <v>7</v>
      </c>
      <c r="T154" s="11" t="n">
        <f aca="false">IF(AND(ISNUMBER(S154),ISNUMBER(D154),D154&gt;0),S154/D154,"")</f>
        <v>0.0752688172043011</v>
      </c>
      <c r="U154" s="10" t="n">
        <v>0.1</v>
      </c>
      <c r="V154" s="10" t="n">
        <v>0.085</v>
      </c>
      <c r="W154" s="10" t="n">
        <v>0.065</v>
      </c>
      <c r="X154" s="10" t="n">
        <v>0.025</v>
      </c>
      <c r="Y154" s="8" t="n">
        <v>0</v>
      </c>
      <c r="Z154" s="8" t="s">
        <v>74</v>
      </c>
      <c r="AA154" s="8" t="n">
        <v>10</v>
      </c>
      <c r="AB154" s="8" t="n">
        <v>0</v>
      </c>
      <c r="AC154" s="11" t="n">
        <f aca="false">IF(AND(ISNUMBER(AA154),ISNUMBER(D154),D154&gt;0),AA154/D154*100,"")</f>
        <v>10.752688172043</v>
      </c>
      <c r="AD154" s="12" t="n">
        <v>3500</v>
      </c>
      <c r="AE154" s="8"/>
      <c r="AF154" s="8" t="s">
        <v>74</v>
      </c>
      <c r="AG154" s="12" t="n">
        <v>346.73</v>
      </c>
      <c r="AH154" s="12" t="n">
        <v>378.64</v>
      </c>
      <c r="AI154" s="12" t="n">
        <v>411.51</v>
      </c>
      <c r="AJ154" s="12" t="n">
        <v>466.65</v>
      </c>
      <c r="AK154" s="8" t="n">
        <v>17</v>
      </c>
      <c r="AL154" s="10" t="n">
        <v>0.3</v>
      </c>
      <c r="AM154" s="8" t="s">
        <v>74</v>
      </c>
      <c r="AN154" s="12" t="n">
        <v>48</v>
      </c>
      <c r="AO154" s="8" t="s">
        <v>74</v>
      </c>
      <c r="AP154" s="8" t="s">
        <v>74</v>
      </c>
      <c r="AQ154" s="10" t="n">
        <v>1</v>
      </c>
      <c r="AR154" s="8" t="n">
        <v>2</v>
      </c>
      <c r="AS154" s="8" t="n">
        <v>1</v>
      </c>
      <c r="AT154" s="8" t="n">
        <v>0</v>
      </c>
      <c r="AU154" s="8" t="n">
        <v>0</v>
      </c>
      <c r="AV154" s="8" t="n">
        <v>0</v>
      </c>
      <c r="AW154" s="8" t="n">
        <v>0</v>
      </c>
      <c r="AX154" s="8" t="n">
        <v>0</v>
      </c>
      <c r="AY154" s="8" t="n">
        <v>3</v>
      </c>
      <c r="AZ154" s="8" t="n">
        <v>3</v>
      </c>
      <c r="BA154" s="8" t="n">
        <v>3</v>
      </c>
      <c r="BB154" s="8" t="n">
        <v>1</v>
      </c>
      <c r="BC154" s="8" t="n">
        <v>0</v>
      </c>
      <c r="BD154" s="8" t="n">
        <v>0</v>
      </c>
      <c r="BE154" s="8" t="n">
        <v>3</v>
      </c>
      <c r="BF154" s="8" t="n">
        <v>1</v>
      </c>
      <c r="BG154" s="8" t="n">
        <v>0</v>
      </c>
      <c r="BH154" s="8" t="n">
        <v>0</v>
      </c>
      <c r="BI154" s="8"/>
      <c r="BJ154" s="9" t="n">
        <v>3</v>
      </c>
      <c r="BK154" s="9" t="n">
        <v>2</v>
      </c>
      <c r="BL154" s="9" t="n">
        <v>0</v>
      </c>
      <c r="BM154" s="9" t="n">
        <v>0</v>
      </c>
      <c r="BN154" s="10" t="n">
        <v>0</v>
      </c>
      <c r="BO154" s="10" t="n">
        <v>0</v>
      </c>
      <c r="BP154" s="10" t="n">
        <f aca="false">IF(AND(ISNUMBER(BN154),ISNUMBER(BO154)),BN154+BO154,"")</f>
        <v>0</v>
      </c>
      <c r="BQ154" s="10" t="n">
        <v>0.8</v>
      </c>
      <c r="BR154" s="10" t="n">
        <v>0.2</v>
      </c>
      <c r="BS154" s="10" t="n">
        <v>0</v>
      </c>
    </row>
    <row r="155" customFormat="false" ht="15" hidden="false" customHeight="false" outlineLevel="0" collapsed="false">
      <c r="A155" s="8" t="s">
        <v>112</v>
      </c>
      <c r="B155" s="8" t="s">
        <v>121</v>
      </c>
      <c r="C155" s="8" t="n">
        <v>4</v>
      </c>
      <c r="D155" s="9" t="n">
        <v>430</v>
      </c>
      <c r="E155" s="9" t="n">
        <v>323</v>
      </c>
      <c r="F155" s="8" t="s">
        <v>92</v>
      </c>
      <c r="G155" s="8" t="s">
        <v>74</v>
      </c>
      <c r="H155" s="10" t="n">
        <v>0</v>
      </c>
      <c r="I155" s="10" t="n">
        <v>0.004</v>
      </c>
      <c r="J155" s="10" t="n">
        <v>0.005</v>
      </c>
      <c r="K155" s="8" t="n">
        <v>0</v>
      </c>
      <c r="L155" s="8" t="n">
        <v>40</v>
      </c>
      <c r="M155" s="10" t="n">
        <v>0.004</v>
      </c>
      <c r="N155" s="8" t="n">
        <v>0</v>
      </c>
      <c r="O155" s="9" t="n">
        <v>20</v>
      </c>
      <c r="P155" s="10" t="n">
        <f aca="false">IF(AND(ISNUMBER(O155),ISNUMBER(D155),D155&gt;0),O155/D155,"")</f>
        <v>0.0465116279069767</v>
      </c>
      <c r="Q155" s="9" t="n">
        <v>7</v>
      </c>
      <c r="R155" s="9" t="n">
        <v>7</v>
      </c>
      <c r="S155" s="9" t="n">
        <v>75</v>
      </c>
      <c r="T155" s="11" t="n">
        <f aca="false">IF(AND(ISNUMBER(S155),ISNUMBER(D155),D155&gt;0),S155/D155,"")</f>
        <v>0.174418604651163</v>
      </c>
      <c r="U155" s="10" t="n">
        <v>0.06</v>
      </c>
      <c r="V155" s="10" t="n">
        <v>0.12</v>
      </c>
      <c r="W155" s="10" t="n">
        <v>0.08</v>
      </c>
      <c r="X155" s="10"/>
      <c r="Y155" s="8" t="n">
        <v>0</v>
      </c>
      <c r="Z155" s="8" t="s">
        <v>74</v>
      </c>
      <c r="AA155" s="8" t="n">
        <v>41</v>
      </c>
      <c r="AB155" s="8" t="n">
        <v>1</v>
      </c>
      <c r="AC155" s="11" t="n">
        <f aca="false">IF(AND(ISNUMBER(AA155),ISNUMBER(D155),D155&gt;0),AA155/D155*100,"")</f>
        <v>9.53488372093023</v>
      </c>
      <c r="AD155" s="12" t="n">
        <v>1500</v>
      </c>
      <c r="AE155" s="8" t="s">
        <v>74</v>
      </c>
      <c r="AF155" s="8" t="s">
        <v>77</v>
      </c>
      <c r="AG155" s="12" t="n">
        <v>309</v>
      </c>
      <c r="AH155" s="12" t="n">
        <v>361.36</v>
      </c>
      <c r="AI155" s="12" t="n">
        <v>524.07</v>
      </c>
      <c r="AJ155" s="12" t="n">
        <v>784</v>
      </c>
      <c r="AK155" s="8" t="n">
        <v>26</v>
      </c>
      <c r="AL155" s="10" t="n">
        <v>0.5</v>
      </c>
      <c r="AM155" s="8" t="s">
        <v>74</v>
      </c>
      <c r="AN155" s="12" t="n">
        <v>42</v>
      </c>
      <c r="AO155" s="8" t="s">
        <v>74</v>
      </c>
      <c r="AP155" s="8" t="s">
        <v>74</v>
      </c>
      <c r="AQ155" s="10" t="n">
        <v>0.8</v>
      </c>
      <c r="AR155" s="8" t="n">
        <v>1</v>
      </c>
      <c r="AS155" s="8"/>
      <c r="AT155" s="8"/>
      <c r="AU155" s="8"/>
      <c r="AV155" s="8" t="n">
        <v>1</v>
      </c>
      <c r="AW155" s="8"/>
      <c r="AX155" s="8" t="n">
        <v>1</v>
      </c>
      <c r="AY155" s="8" t="n">
        <v>1</v>
      </c>
      <c r="AZ155" s="8" t="n">
        <v>1</v>
      </c>
      <c r="BA155" s="8" t="n">
        <v>1</v>
      </c>
      <c r="BB155" s="8" t="n">
        <v>3</v>
      </c>
      <c r="BC155" s="8" t="n">
        <v>1</v>
      </c>
      <c r="BD155" s="8" t="n">
        <v>2</v>
      </c>
      <c r="BE155" s="8" t="n">
        <v>2</v>
      </c>
      <c r="BF155" s="8" t="n">
        <v>2</v>
      </c>
      <c r="BG155" s="8" t="n">
        <v>1</v>
      </c>
      <c r="BH155" s="8" t="n">
        <v>3</v>
      </c>
      <c r="BI155" s="8" t="n">
        <v>2</v>
      </c>
      <c r="BJ155" s="9" t="n">
        <v>4</v>
      </c>
      <c r="BK155" s="9" t="n">
        <v>0</v>
      </c>
      <c r="BL155" s="9" t="n">
        <v>6</v>
      </c>
      <c r="BM155" s="9" t="n">
        <v>15</v>
      </c>
      <c r="BN155" s="10" t="n">
        <v>0</v>
      </c>
      <c r="BO155" s="10" t="n">
        <v>0.1</v>
      </c>
      <c r="BP155" s="10" t="n">
        <f aca="false">IF(AND(ISNUMBER(BN155),ISNUMBER(BO155)),BN155+BO155,"")</f>
        <v>0.1</v>
      </c>
      <c r="BQ155" s="10" t="n">
        <v>0.1</v>
      </c>
      <c r="BR155" s="10" t="n">
        <v>0.1</v>
      </c>
      <c r="BS155" s="10" t="n">
        <v>0.7</v>
      </c>
    </row>
    <row r="156" customFormat="false" ht="15" hidden="false" customHeight="false" outlineLevel="0" collapsed="false">
      <c r="A156" s="8" t="s">
        <v>113</v>
      </c>
      <c r="B156" s="8" t="s">
        <v>121</v>
      </c>
      <c r="C156" s="8" t="n">
        <v>4</v>
      </c>
      <c r="D156" s="9" t="n">
        <v>87</v>
      </c>
      <c r="E156" s="9" t="n">
        <v>48</v>
      </c>
      <c r="F156" s="8" t="s">
        <v>76</v>
      </c>
      <c r="G156" s="8" t="s">
        <v>77</v>
      </c>
      <c r="H156" s="10" t="n">
        <v>0.3</v>
      </c>
      <c r="I156" s="10" t="n">
        <v>0.055</v>
      </c>
      <c r="J156" s="10" t="n">
        <v>0.003</v>
      </c>
      <c r="K156" s="8" t="n">
        <v>0</v>
      </c>
      <c r="L156" s="8" t="n">
        <v>3</v>
      </c>
      <c r="M156" s="10" t="n">
        <v>0.01</v>
      </c>
      <c r="N156" s="8" t="n">
        <v>0</v>
      </c>
      <c r="O156" s="9" t="n">
        <v>6</v>
      </c>
      <c r="P156" s="10" t="n">
        <f aca="false">IF(AND(ISNUMBER(O156),ISNUMBER(D156),D156&gt;0),O156/D156,"")</f>
        <v>0.0689655172413793</v>
      </c>
      <c r="Q156" s="9" t="n">
        <v>6</v>
      </c>
      <c r="R156" s="9" t="n">
        <v>6</v>
      </c>
      <c r="S156" s="9"/>
      <c r="T156" s="11" t="str">
        <f aca="false">IF(AND(ISNUMBER(S156),ISNUMBER(D156),D156&gt;0),S156/D156,"")</f>
        <v/>
      </c>
      <c r="U156" s="10" t="n">
        <v>0.1</v>
      </c>
      <c r="V156" s="10"/>
      <c r="W156" s="10"/>
      <c r="X156" s="10" t="n">
        <v>0.1</v>
      </c>
      <c r="Y156" s="8" t="n">
        <v>0</v>
      </c>
      <c r="Z156" s="8" t="s">
        <v>77</v>
      </c>
      <c r="AA156" s="8" t="n">
        <v>0</v>
      </c>
      <c r="AB156" s="8" t="n">
        <v>0</v>
      </c>
      <c r="AC156" s="11" t="n">
        <f aca="false">IF(AND(ISNUMBER(AA156),ISNUMBER(D156),D156&gt;0),AA156/D156*100,"")</f>
        <v>0</v>
      </c>
      <c r="AD156" s="12"/>
      <c r="AE156" s="8" t="s">
        <v>74</v>
      </c>
      <c r="AF156" s="8" t="s">
        <v>74</v>
      </c>
      <c r="AG156" s="12" t="n">
        <v>278.78</v>
      </c>
      <c r="AH156" s="12" t="n">
        <v>278.78</v>
      </c>
      <c r="AI156" s="12" t="n">
        <v>351.26</v>
      </c>
      <c r="AJ156" s="12" t="n">
        <v>577.38</v>
      </c>
      <c r="AK156" s="8" t="n">
        <v>15</v>
      </c>
      <c r="AL156" s="10" t="n">
        <v>0.25</v>
      </c>
      <c r="AM156" s="8" t="s">
        <v>74</v>
      </c>
      <c r="AN156" s="12" t="n">
        <v>45</v>
      </c>
      <c r="AO156" s="8" t="s">
        <v>77</v>
      </c>
      <c r="AP156" s="8" t="s">
        <v>74</v>
      </c>
      <c r="AQ156" s="10"/>
      <c r="AR156" s="8" t="n">
        <v>3</v>
      </c>
      <c r="AS156" s="8" t="n">
        <v>3</v>
      </c>
      <c r="AT156" s="8" t="n">
        <v>3</v>
      </c>
      <c r="AU156" s="8"/>
      <c r="AV156" s="8"/>
      <c r="AW156" s="8" t="n">
        <v>2</v>
      </c>
      <c r="AX156" s="8" t="n">
        <v>2</v>
      </c>
      <c r="AY156" s="8" t="n">
        <v>3</v>
      </c>
      <c r="AZ156" s="8" t="n">
        <v>2</v>
      </c>
      <c r="BA156" s="8" t="n">
        <v>2</v>
      </c>
      <c r="BB156" s="8" t="n">
        <v>2</v>
      </c>
      <c r="BC156" s="8" t="n">
        <v>2</v>
      </c>
      <c r="BD156" s="8" t="n">
        <v>2</v>
      </c>
      <c r="BE156" s="8" t="n">
        <v>3</v>
      </c>
      <c r="BF156" s="8" t="n">
        <v>2</v>
      </c>
      <c r="BG156" s="8" t="n">
        <v>2</v>
      </c>
      <c r="BH156" s="8" t="n">
        <v>2</v>
      </c>
      <c r="BI156" s="8" t="n">
        <v>2</v>
      </c>
      <c r="BJ156" s="9" t="n">
        <v>4</v>
      </c>
      <c r="BK156" s="9" t="n">
        <v>0</v>
      </c>
      <c r="BL156" s="9" t="n">
        <v>2</v>
      </c>
      <c r="BM156" s="9" t="n">
        <v>4</v>
      </c>
      <c r="BN156" s="10" t="n">
        <v>0.1</v>
      </c>
      <c r="BO156" s="10" t="n">
        <v>0.4</v>
      </c>
      <c r="BP156" s="10" t="n">
        <f aca="false">IF(AND(ISNUMBER(BN156),ISNUMBER(BO156)),BN156+BO156,"")</f>
        <v>0.5</v>
      </c>
      <c r="BQ156" s="10" t="n">
        <v>0.2</v>
      </c>
      <c r="BR156" s="10" t="n">
        <v>0.4</v>
      </c>
      <c r="BS156" s="10" t="n">
        <v>0</v>
      </c>
    </row>
    <row r="157" customFormat="false" ht="15" hidden="false" customHeight="false" outlineLevel="0" collapsed="false">
      <c r="A157" s="8" t="s">
        <v>114</v>
      </c>
      <c r="B157" s="8" t="s">
        <v>121</v>
      </c>
      <c r="C157" s="8" t="n">
        <v>4</v>
      </c>
      <c r="D157" s="9" t="n">
        <v>1438</v>
      </c>
      <c r="E157" s="9" t="n">
        <v>408</v>
      </c>
      <c r="F157" s="8" t="s">
        <v>81</v>
      </c>
      <c r="G157" s="8" t="s">
        <v>74</v>
      </c>
      <c r="H157" s="10" t="n">
        <v>0</v>
      </c>
      <c r="I157" s="10" t="n">
        <v>0.042</v>
      </c>
      <c r="J157" s="10" t="n">
        <v>0.015</v>
      </c>
      <c r="K157" s="8" t="n">
        <v>0</v>
      </c>
      <c r="L157" s="8" t="n">
        <v>10</v>
      </c>
      <c r="M157" s="10" t="n">
        <v>0.015</v>
      </c>
      <c r="N157" s="8" t="n">
        <v>0</v>
      </c>
      <c r="O157" s="9" t="n">
        <v>205</v>
      </c>
      <c r="P157" s="10" t="n">
        <f aca="false">IF(AND(ISNUMBER(O157),ISNUMBER(D157),D157&gt;0),O157/D157,"")</f>
        <v>0.142559109874826</v>
      </c>
      <c r="Q157" s="9" t="n">
        <v>173</v>
      </c>
      <c r="R157" s="9" t="n">
        <v>78</v>
      </c>
      <c r="S157" s="9" t="n">
        <v>2846</v>
      </c>
      <c r="T157" s="11" t="n">
        <f aca="false">IF(AND(ISNUMBER(S157),ISNUMBER(D157),D157&gt;0),S157/D157,"")</f>
        <v>1.97913769123783</v>
      </c>
      <c r="U157" s="10" t="n">
        <v>0.07</v>
      </c>
      <c r="V157" s="10" t="n">
        <v>0.09</v>
      </c>
      <c r="W157" s="10" t="n">
        <v>0.09</v>
      </c>
      <c r="X157" s="10" t="n">
        <v>0.1</v>
      </c>
      <c r="Y157" s="8" t="n">
        <v>0</v>
      </c>
      <c r="Z157" s="8" t="s">
        <v>74</v>
      </c>
      <c r="AA157" s="8" t="n">
        <v>41</v>
      </c>
      <c r="AB157" s="8" t="n">
        <v>1</v>
      </c>
      <c r="AC157" s="11" t="n">
        <f aca="false">IF(AND(ISNUMBER(AA157),ISNUMBER(D157),D157&gt;0),AA157/D157*100,"")</f>
        <v>2.85118219749652</v>
      </c>
      <c r="AD157" s="12" t="n">
        <v>1000</v>
      </c>
      <c r="AE157" s="8" t="s">
        <v>74</v>
      </c>
      <c r="AF157" s="8" t="s">
        <v>77</v>
      </c>
      <c r="AG157" s="12" t="n">
        <v>323.61</v>
      </c>
      <c r="AH157" s="12" t="n">
        <v>374.38</v>
      </c>
      <c r="AI157" s="12" t="n">
        <v>393.1</v>
      </c>
      <c r="AJ157" s="12" t="n">
        <v>412.75</v>
      </c>
      <c r="AK157" s="8" t="n">
        <v>15</v>
      </c>
      <c r="AL157" s="10" t="n">
        <v>0.25</v>
      </c>
      <c r="AM157" s="8" t="s">
        <v>74</v>
      </c>
      <c r="AN157" s="12" t="n">
        <v>22</v>
      </c>
      <c r="AO157" s="8" t="s">
        <v>77</v>
      </c>
      <c r="AP157" s="8" t="s">
        <v>74</v>
      </c>
      <c r="AQ157" s="10" t="n">
        <v>0.9</v>
      </c>
      <c r="AR157" s="8" t="n">
        <v>4</v>
      </c>
      <c r="AS157" s="8" t="n">
        <v>5</v>
      </c>
      <c r="AT157" s="8" t="n">
        <v>1</v>
      </c>
      <c r="AU157" s="8" t="n">
        <v>3</v>
      </c>
      <c r="AV157" s="8" t="n">
        <v>3</v>
      </c>
      <c r="AW157" s="8" t="n">
        <v>3</v>
      </c>
      <c r="AX157" s="8" t="n">
        <v>2</v>
      </c>
      <c r="AY157" s="8" t="n">
        <v>3</v>
      </c>
      <c r="AZ157" s="8" t="n">
        <v>1</v>
      </c>
      <c r="BA157" s="8" t="n">
        <v>2</v>
      </c>
      <c r="BB157" s="8" t="n">
        <v>4</v>
      </c>
      <c r="BC157" s="8" t="n">
        <v>3</v>
      </c>
      <c r="BD157" s="8" t="n">
        <v>4</v>
      </c>
      <c r="BE157" s="8" t="n">
        <v>2</v>
      </c>
      <c r="BF157" s="8" t="n">
        <v>3</v>
      </c>
      <c r="BG157" s="8" t="n">
        <v>1</v>
      </c>
      <c r="BH157" s="8" t="n">
        <v>5</v>
      </c>
      <c r="BI157" s="8" t="n">
        <v>5</v>
      </c>
      <c r="BJ157" s="9" t="n">
        <v>97</v>
      </c>
      <c r="BK157" s="9" t="n">
        <v>83</v>
      </c>
      <c r="BL157" s="9" t="n">
        <v>3</v>
      </c>
      <c r="BM157" s="9" t="n">
        <v>19</v>
      </c>
      <c r="BN157" s="10" t="n">
        <v>0.1</v>
      </c>
      <c r="BO157" s="10" t="n">
        <v>0.3</v>
      </c>
      <c r="BP157" s="10" t="n">
        <f aca="false">IF(AND(ISNUMBER(BN157),ISNUMBER(BO157)),BN157+BO157,"")</f>
        <v>0.4</v>
      </c>
      <c r="BQ157" s="10" t="n">
        <v>0.3</v>
      </c>
      <c r="BR157" s="10" t="n">
        <v>0.2</v>
      </c>
      <c r="BS157" s="10" t="n">
        <v>0.1</v>
      </c>
    </row>
    <row r="158" customFormat="false" ht="15" hidden="false" customHeight="false" outlineLevel="0" collapsed="false">
      <c r="A158" s="8" t="s">
        <v>115</v>
      </c>
      <c r="B158" s="8" t="s">
        <v>121</v>
      </c>
      <c r="C158" s="8" t="n">
        <v>4</v>
      </c>
      <c r="D158" s="9" t="n">
        <v>1000</v>
      </c>
      <c r="E158" s="9" t="n">
        <v>500</v>
      </c>
      <c r="F158" s="8" t="s">
        <v>92</v>
      </c>
      <c r="G158" s="8" t="s">
        <v>74</v>
      </c>
      <c r="H158" s="10"/>
      <c r="I158" s="10" t="n">
        <v>0.004</v>
      </c>
      <c r="J158" s="10" t="n">
        <v>0.001</v>
      </c>
      <c r="K158" s="8" t="n">
        <v>0</v>
      </c>
      <c r="L158" s="8" t="n">
        <v>30</v>
      </c>
      <c r="M158" s="10" t="n">
        <v>0.005</v>
      </c>
      <c r="N158" s="8" t="n">
        <v>0</v>
      </c>
      <c r="O158" s="9" t="n">
        <v>20</v>
      </c>
      <c r="P158" s="10" t="n">
        <f aca="false">IF(AND(ISNUMBER(O158),ISNUMBER(D158),D158&gt;0),O158/D158,"")</f>
        <v>0.02</v>
      </c>
      <c r="Q158" s="9" t="n">
        <v>50</v>
      </c>
      <c r="R158" s="9" t="n">
        <v>20</v>
      </c>
      <c r="S158" s="9" t="n">
        <v>68</v>
      </c>
      <c r="T158" s="11" t="n">
        <f aca="false">IF(AND(ISNUMBER(S158),ISNUMBER(D158),D158&gt;0),S158/D158,"")</f>
        <v>0.068</v>
      </c>
      <c r="U158" s="10" t="n">
        <v>0.07</v>
      </c>
      <c r="V158" s="10" t="n">
        <v>0.105</v>
      </c>
      <c r="W158" s="10" t="n">
        <v>0.11</v>
      </c>
      <c r="X158" s="10" t="n">
        <v>0.055</v>
      </c>
      <c r="Y158" s="8" t="n">
        <v>0</v>
      </c>
      <c r="Z158" s="8" t="s">
        <v>74</v>
      </c>
      <c r="AA158" s="8" t="n">
        <v>1</v>
      </c>
      <c r="AB158" s="8" t="n">
        <v>0</v>
      </c>
      <c r="AC158" s="11" t="n">
        <f aca="false">IF(AND(ISNUMBER(AA158),ISNUMBER(D158),D158&gt;0),AA158/D158*100,"")</f>
        <v>0.1</v>
      </c>
      <c r="AD158" s="12" t="n">
        <v>0</v>
      </c>
      <c r="AE158" s="8" t="s">
        <v>77</v>
      </c>
      <c r="AF158" s="8" t="s">
        <v>74</v>
      </c>
      <c r="AG158" s="12" t="n">
        <v>326.16</v>
      </c>
      <c r="AH158" s="12" t="n">
        <v>455.5</v>
      </c>
      <c r="AI158" s="12" t="n">
        <v>625.87</v>
      </c>
      <c r="AJ158" s="12" t="n">
        <v>738.66</v>
      </c>
      <c r="AK158" s="8" t="n">
        <v>40</v>
      </c>
      <c r="AL158" s="10" t="n">
        <v>0.9</v>
      </c>
      <c r="AM158" s="8" t="s">
        <v>74</v>
      </c>
      <c r="AN158" s="12" t="n">
        <v>52</v>
      </c>
      <c r="AO158" s="8" t="s">
        <v>74</v>
      </c>
      <c r="AP158" s="8" t="s">
        <v>74</v>
      </c>
      <c r="AQ158" s="10" t="n">
        <v>0.4</v>
      </c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9" t="n">
        <v>10</v>
      </c>
      <c r="BK158" s="9" t="n">
        <v>1</v>
      </c>
      <c r="BL158" s="9" t="n">
        <v>2</v>
      </c>
      <c r="BM158" s="9" t="n">
        <v>6</v>
      </c>
      <c r="BN158" s="10" t="n">
        <v>0</v>
      </c>
      <c r="BO158" s="10" t="n">
        <v>0.1</v>
      </c>
      <c r="BP158" s="10" t="n">
        <f aca="false">IF(AND(ISNUMBER(BN158),ISNUMBER(BO158)),BN158+BO158,"")</f>
        <v>0.1</v>
      </c>
      <c r="BQ158" s="10" t="n">
        <v>0.1</v>
      </c>
      <c r="BR158" s="10" t="n">
        <v>0.5</v>
      </c>
      <c r="BS158" s="10" t="n">
        <v>0.3</v>
      </c>
    </row>
    <row r="159" customFormat="false" ht="15" hidden="false" customHeight="false" outlineLevel="0" collapsed="false">
      <c r="A159" s="8" t="s">
        <v>116</v>
      </c>
      <c r="B159" s="8" t="s">
        <v>121</v>
      </c>
      <c r="C159" s="8" t="n">
        <v>4</v>
      </c>
      <c r="D159" s="9" t="n">
        <v>2978</v>
      </c>
      <c r="E159" s="9" t="n">
        <v>512</v>
      </c>
      <c r="F159" s="8" t="s">
        <v>73</v>
      </c>
      <c r="G159" s="8" t="s">
        <v>74</v>
      </c>
      <c r="H159" s="10" t="n">
        <v>0.1</v>
      </c>
      <c r="I159" s="10" t="n">
        <v>0.02</v>
      </c>
      <c r="J159" s="10" t="n">
        <v>0.015</v>
      </c>
      <c r="K159" s="8" t="n">
        <v>0</v>
      </c>
      <c r="L159" s="8" t="n">
        <v>5</v>
      </c>
      <c r="M159" s="10" t="n">
        <v>0.04</v>
      </c>
      <c r="N159" s="8" t="n">
        <v>0</v>
      </c>
      <c r="O159" s="9" t="n">
        <v>396</v>
      </c>
      <c r="P159" s="10" t="n">
        <f aca="false">IF(AND(ISNUMBER(O159),ISNUMBER(D159),D159&gt;0),O159/D159,"")</f>
        <v>0.132975151108126</v>
      </c>
      <c r="Q159" s="9" t="n">
        <v>527</v>
      </c>
      <c r="R159" s="9" t="n">
        <v>407</v>
      </c>
      <c r="S159" s="9" t="n">
        <v>2358</v>
      </c>
      <c r="T159" s="11" t="n">
        <f aca="false">IF(AND(ISNUMBER(S159),ISNUMBER(D159),D159&gt;0),S159/D159,"")</f>
        <v>0.791806581598388</v>
      </c>
      <c r="U159" s="10" t="n">
        <v>0.06</v>
      </c>
      <c r="V159" s="10" t="n">
        <v>0.1</v>
      </c>
      <c r="W159" s="10" t="n">
        <v>0.06</v>
      </c>
      <c r="X159" s="10"/>
      <c r="Y159" s="8" t="n">
        <v>0</v>
      </c>
      <c r="Z159" s="8" t="s">
        <v>74</v>
      </c>
      <c r="AA159" s="8" t="n">
        <v>41</v>
      </c>
      <c r="AB159" s="8" t="n">
        <v>1</v>
      </c>
      <c r="AC159" s="11" t="n">
        <f aca="false">IF(AND(ISNUMBER(AA159),ISNUMBER(D159),D159&gt;0),AA159/D159*100,"")</f>
        <v>1.37676292813969</v>
      </c>
      <c r="AD159" s="12" t="n">
        <v>580</v>
      </c>
      <c r="AE159" s="8" t="s">
        <v>74</v>
      </c>
      <c r="AF159" s="8" t="s">
        <v>77</v>
      </c>
      <c r="AG159" s="12" t="n">
        <v>349</v>
      </c>
      <c r="AH159" s="12" t="n">
        <v>349</v>
      </c>
      <c r="AI159" s="12" t="n">
        <v>358</v>
      </c>
      <c r="AJ159" s="12" t="n">
        <v>367</v>
      </c>
      <c r="AK159" s="8" t="n">
        <v>20</v>
      </c>
      <c r="AL159" s="10" t="n">
        <v>0.6</v>
      </c>
      <c r="AM159" s="8" t="s">
        <v>77</v>
      </c>
      <c r="AN159" s="12"/>
      <c r="AO159" s="8" t="s">
        <v>74</v>
      </c>
      <c r="AP159" s="8" t="s">
        <v>74</v>
      </c>
      <c r="AQ159" s="10" t="n">
        <v>0.9</v>
      </c>
      <c r="AR159" s="8" t="n">
        <v>3</v>
      </c>
      <c r="AS159" s="8" t="n">
        <v>3</v>
      </c>
      <c r="AT159" s="8"/>
      <c r="AU159" s="8"/>
      <c r="AV159" s="8"/>
      <c r="AW159" s="8"/>
      <c r="AX159" s="8"/>
      <c r="AY159" s="8"/>
      <c r="AZ159" s="8"/>
      <c r="BA159" s="8" t="n">
        <v>3</v>
      </c>
      <c r="BB159" s="8"/>
      <c r="BC159" s="8"/>
      <c r="BD159" s="8"/>
      <c r="BE159" s="8"/>
      <c r="BF159" s="8"/>
      <c r="BG159" s="8"/>
      <c r="BH159" s="8" t="n">
        <v>3</v>
      </c>
      <c r="BI159" s="8" t="n">
        <v>3</v>
      </c>
      <c r="BJ159" s="9" t="n">
        <v>237</v>
      </c>
      <c r="BK159" s="9" t="n">
        <v>60</v>
      </c>
      <c r="BL159" s="9" t="n">
        <v>3</v>
      </c>
      <c r="BM159" s="9" t="n">
        <v>71</v>
      </c>
      <c r="BN159" s="10" t="n">
        <v>0.3</v>
      </c>
      <c r="BO159" s="10" t="n">
        <v>0.3</v>
      </c>
      <c r="BP159" s="10" t="n">
        <f aca="false">IF(AND(ISNUMBER(BN159),ISNUMBER(BO159)),BN159+BO159,"")</f>
        <v>0.6</v>
      </c>
      <c r="BQ159" s="10" t="n">
        <v>0.2</v>
      </c>
      <c r="BR159" s="10" t="n">
        <v>0.1</v>
      </c>
      <c r="BS159" s="10" t="n">
        <v>0.1</v>
      </c>
    </row>
    <row r="160" customFormat="false" ht="15" hidden="false" customHeight="false" outlineLevel="0" collapsed="false">
      <c r="A160" s="8" t="s">
        <v>117</v>
      </c>
      <c r="B160" s="8" t="s">
        <v>121</v>
      </c>
      <c r="C160" s="8" t="n">
        <v>4</v>
      </c>
      <c r="D160" s="9" t="n">
        <v>1233</v>
      </c>
      <c r="E160" s="9" t="n">
        <v>364</v>
      </c>
      <c r="F160" s="8" t="s">
        <v>92</v>
      </c>
      <c r="G160" s="8" t="s">
        <v>74</v>
      </c>
      <c r="H160" s="10" t="n">
        <v>0.7</v>
      </c>
      <c r="I160" s="10" t="n">
        <v>0.125</v>
      </c>
      <c r="J160" s="10" t="n">
        <v>0.035</v>
      </c>
      <c r="K160" s="8" t="n">
        <v>0</v>
      </c>
      <c r="L160" s="8" t="n">
        <v>7</v>
      </c>
      <c r="M160" s="10" t="n">
        <v>0.15</v>
      </c>
      <c r="N160" s="8" t="n">
        <v>1</v>
      </c>
      <c r="O160" s="9" t="n">
        <v>192</v>
      </c>
      <c r="P160" s="10" t="n">
        <f aca="false">IF(AND(ISNUMBER(O160),ISNUMBER(D160),D160&gt;0),O160/D160,"")</f>
        <v>0.155717761557178</v>
      </c>
      <c r="Q160" s="9" t="n">
        <v>172</v>
      </c>
      <c r="R160" s="9" t="n">
        <v>172</v>
      </c>
      <c r="S160" s="9" t="n">
        <v>245</v>
      </c>
      <c r="T160" s="11" t="n">
        <f aca="false">IF(AND(ISNUMBER(S160),ISNUMBER(D160),D160&gt;0),S160/D160,"")</f>
        <v>0.198702351987024</v>
      </c>
      <c r="U160" s="10" t="n">
        <v>0.058</v>
      </c>
      <c r="V160" s="10" t="n">
        <v>0.095</v>
      </c>
      <c r="W160" s="10" t="n">
        <v>0.11</v>
      </c>
      <c r="X160" s="10" t="n">
        <v>0.065</v>
      </c>
      <c r="Y160" s="8" t="n">
        <v>0</v>
      </c>
      <c r="Z160" s="8" t="s">
        <v>74</v>
      </c>
      <c r="AA160" s="8" t="n">
        <v>22</v>
      </c>
      <c r="AB160" s="8" t="n">
        <v>0</v>
      </c>
      <c r="AC160" s="11" t="n">
        <f aca="false">IF(AND(ISNUMBER(AA160),ISNUMBER(D160),D160&gt;0),AA160/D160*100,"")</f>
        <v>1.78426601784266</v>
      </c>
      <c r="AD160" s="12" t="n">
        <v>4355</v>
      </c>
      <c r="AE160" s="8" t="s">
        <v>74</v>
      </c>
      <c r="AF160" s="8" t="s">
        <v>77</v>
      </c>
      <c r="AG160" s="12" t="n">
        <v>322.12</v>
      </c>
      <c r="AH160" s="12" t="n">
        <v>363.25</v>
      </c>
      <c r="AI160" s="12" t="n">
        <v>439.61</v>
      </c>
      <c r="AJ160" s="12" t="n">
        <v>540.94</v>
      </c>
      <c r="AK160" s="8" t="n">
        <v>26</v>
      </c>
      <c r="AL160" s="10" t="n">
        <v>0.7</v>
      </c>
      <c r="AM160" s="8" t="s">
        <v>74</v>
      </c>
      <c r="AN160" s="12" t="n">
        <v>46</v>
      </c>
      <c r="AO160" s="8" t="s">
        <v>77</v>
      </c>
      <c r="AP160" s="8" t="s">
        <v>74</v>
      </c>
      <c r="AQ160" s="10" t="n">
        <v>0.97</v>
      </c>
      <c r="AR160" s="8" t="n">
        <v>4</v>
      </c>
      <c r="AS160" s="8" t="n">
        <v>0</v>
      </c>
      <c r="AT160" s="8" t="n">
        <v>1</v>
      </c>
      <c r="AU160" s="8" t="n">
        <v>3</v>
      </c>
      <c r="AV160" s="8" t="n">
        <v>2</v>
      </c>
      <c r="AW160" s="8" t="n">
        <v>1</v>
      </c>
      <c r="AX160" s="8" t="n">
        <v>1</v>
      </c>
      <c r="AY160" s="8" t="n">
        <v>2</v>
      </c>
      <c r="AZ160" s="8" t="n">
        <v>1</v>
      </c>
      <c r="BA160" s="8" t="n">
        <v>1</v>
      </c>
      <c r="BB160" s="8" t="n">
        <v>4</v>
      </c>
      <c r="BC160" s="8" t="n">
        <v>4</v>
      </c>
      <c r="BD160" s="8" t="n">
        <v>3</v>
      </c>
      <c r="BE160" s="8" t="n">
        <v>2</v>
      </c>
      <c r="BF160" s="8" t="n">
        <v>2</v>
      </c>
      <c r="BG160" s="8" t="n">
        <v>1</v>
      </c>
      <c r="BH160" s="8" t="n">
        <v>3</v>
      </c>
      <c r="BI160" s="8" t="n">
        <v>5</v>
      </c>
      <c r="BJ160" s="9" t="n">
        <v>118</v>
      </c>
      <c r="BK160" s="9" t="n">
        <v>84</v>
      </c>
      <c r="BL160" s="9"/>
      <c r="BM160" s="9"/>
      <c r="BN160" s="10" t="n">
        <v>0</v>
      </c>
      <c r="BO160" s="10" t="n">
        <v>0.5</v>
      </c>
      <c r="BP160" s="10" t="n">
        <f aca="false">IF(AND(ISNUMBER(BN160),ISNUMBER(BO160)),BN160+BO160,"")</f>
        <v>0.5</v>
      </c>
      <c r="BQ160" s="10" t="n">
        <v>0.3</v>
      </c>
      <c r="BR160" s="10" t="n">
        <v>0.1</v>
      </c>
      <c r="BS160" s="10" t="n">
        <v>0.1</v>
      </c>
    </row>
    <row r="161" customFormat="false" ht="15" hidden="false" customHeight="false" outlineLevel="0" collapsed="false">
      <c r="A161" s="8" t="s">
        <v>118</v>
      </c>
      <c r="B161" s="8" t="s">
        <v>121</v>
      </c>
      <c r="C161" s="8" t="n">
        <v>4</v>
      </c>
      <c r="D161" s="9" t="n">
        <v>332</v>
      </c>
      <c r="E161" s="9" t="n">
        <v>97</v>
      </c>
      <c r="F161" s="8" t="s">
        <v>73</v>
      </c>
      <c r="G161" s="8" t="s">
        <v>74</v>
      </c>
      <c r="H161" s="10" t="n">
        <v>0.1</v>
      </c>
      <c r="I161" s="10" t="n">
        <v>0.006</v>
      </c>
      <c r="J161" s="10"/>
      <c r="K161" s="8" t="n">
        <v>0</v>
      </c>
      <c r="L161" s="8"/>
      <c r="M161" s="10" t="n">
        <v>0.001</v>
      </c>
      <c r="N161" s="8" t="n">
        <v>0</v>
      </c>
      <c r="O161" s="9" t="n">
        <v>13</v>
      </c>
      <c r="P161" s="10" t="n">
        <f aca="false">IF(AND(ISNUMBER(O161),ISNUMBER(D161),D161&gt;0),O161/D161,"")</f>
        <v>0.0391566265060241</v>
      </c>
      <c r="Q161" s="9" t="n">
        <v>11</v>
      </c>
      <c r="R161" s="9" t="n">
        <v>10</v>
      </c>
      <c r="S161" s="9" t="n">
        <v>11</v>
      </c>
      <c r="T161" s="11" t="n">
        <f aca="false">IF(AND(ISNUMBER(S161),ISNUMBER(D161),D161&gt;0),S161/D161,"")</f>
        <v>0.0331325301204819</v>
      </c>
      <c r="U161" s="10" t="n">
        <v>0.08</v>
      </c>
      <c r="V161" s="10" t="n">
        <v>0.12</v>
      </c>
      <c r="W161" s="10" t="n">
        <v>0.095</v>
      </c>
      <c r="X161" s="10"/>
      <c r="Y161" s="8" t="n">
        <v>0</v>
      </c>
      <c r="Z161" s="8" t="s">
        <v>74</v>
      </c>
      <c r="AA161" s="8" t="n">
        <v>24</v>
      </c>
      <c r="AB161" s="8" t="n">
        <v>0</v>
      </c>
      <c r="AC161" s="11" t="n">
        <f aca="false">IF(AND(ISNUMBER(AA161),ISNUMBER(D161),D161&gt;0),AA161/D161*100,"")</f>
        <v>7.2289156626506</v>
      </c>
      <c r="AD161" s="12" t="n">
        <v>0</v>
      </c>
      <c r="AE161" s="8" t="s">
        <v>77</v>
      </c>
      <c r="AF161" s="8" t="s">
        <v>77</v>
      </c>
      <c r="AG161" s="12" t="n">
        <v>373</v>
      </c>
      <c r="AH161" s="12" t="n">
        <v>393</v>
      </c>
      <c r="AI161" s="12" t="n">
        <v>465</v>
      </c>
      <c r="AJ161" s="12" t="n">
        <v>560</v>
      </c>
      <c r="AK161" s="8" t="n">
        <v>23</v>
      </c>
      <c r="AL161" s="10" t="n">
        <v>0.7</v>
      </c>
      <c r="AM161" s="8" t="s">
        <v>74</v>
      </c>
      <c r="AN161" s="12" t="n">
        <v>34</v>
      </c>
      <c r="AO161" s="8" t="s">
        <v>77</v>
      </c>
      <c r="AP161" s="8" t="s">
        <v>74</v>
      </c>
      <c r="AQ161" s="10" t="n">
        <v>0.8</v>
      </c>
      <c r="AR161" s="8" t="n">
        <v>2</v>
      </c>
      <c r="AS161" s="8" t="n">
        <v>1</v>
      </c>
      <c r="AT161" s="8" t="n">
        <v>1</v>
      </c>
      <c r="AU161" s="8" t="n">
        <v>2</v>
      </c>
      <c r="AV161" s="8" t="n">
        <v>3</v>
      </c>
      <c r="AW161" s="8" t="n">
        <v>2</v>
      </c>
      <c r="AX161" s="8" t="n">
        <v>1</v>
      </c>
      <c r="AY161" s="8" t="n">
        <v>1</v>
      </c>
      <c r="AZ161" s="8" t="n">
        <v>1</v>
      </c>
      <c r="BA161" s="8" t="n">
        <v>1</v>
      </c>
      <c r="BB161" s="8" t="n">
        <v>3</v>
      </c>
      <c r="BC161" s="8" t="n">
        <v>2</v>
      </c>
      <c r="BD161" s="8" t="n">
        <v>1</v>
      </c>
      <c r="BE161" s="8" t="n">
        <v>1</v>
      </c>
      <c r="BF161" s="8" t="n">
        <v>2</v>
      </c>
      <c r="BG161" s="8" t="n">
        <v>2</v>
      </c>
      <c r="BH161" s="8" t="n">
        <v>3</v>
      </c>
      <c r="BI161" s="8" t="n">
        <v>1</v>
      </c>
      <c r="BJ161" s="9" t="n">
        <v>10</v>
      </c>
      <c r="BK161" s="9"/>
      <c r="BL161" s="9"/>
      <c r="BM161" s="9" t="n">
        <v>2</v>
      </c>
      <c r="BN161" s="10"/>
      <c r="BO161" s="10"/>
      <c r="BP161" s="10" t="str">
        <f aca="false">IF(AND(ISNUMBER(BN161),ISNUMBER(BO161)),BN161+BO161,"")</f>
        <v/>
      </c>
      <c r="BQ161" s="10"/>
      <c r="BR161" s="10"/>
      <c r="BS161" s="10"/>
    </row>
    <row r="162" customFormat="false" ht="15" hidden="false" customHeight="false" outlineLevel="0" collapsed="false">
      <c r="A162" s="8" t="s">
        <v>71</v>
      </c>
      <c r="B162" s="8" t="s">
        <v>122</v>
      </c>
      <c r="C162" s="8" t="n">
        <v>5</v>
      </c>
      <c r="D162" s="9" t="n">
        <v>156</v>
      </c>
      <c r="E162" s="9" t="n">
        <v>24</v>
      </c>
      <c r="F162" s="8" t="s">
        <v>73</v>
      </c>
      <c r="G162" s="8" t="s">
        <v>77</v>
      </c>
      <c r="H162" s="10" t="n">
        <v>0.7</v>
      </c>
      <c r="I162" s="10" t="n">
        <v>0.04</v>
      </c>
      <c r="J162" s="10" t="n">
        <v>0.01</v>
      </c>
      <c r="K162" s="8" t="n">
        <v>0</v>
      </c>
      <c r="L162" s="8" t="n">
        <v>15</v>
      </c>
      <c r="M162" s="10" t="n">
        <v>0.018</v>
      </c>
      <c r="N162" s="8" t="n">
        <v>0</v>
      </c>
      <c r="O162" s="9" t="n">
        <v>22</v>
      </c>
      <c r="P162" s="10" t="n">
        <f aca="false">IF(AND(ISNUMBER(O162),ISNUMBER(D162),D162&gt;0),O162/D162,"")</f>
        <v>0.141025641025641</v>
      </c>
      <c r="Q162" s="9" t="n">
        <v>28</v>
      </c>
      <c r="R162" s="9" t="n">
        <v>20</v>
      </c>
      <c r="S162" s="9" t="n">
        <v>77</v>
      </c>
      <c r="T162" s="11" t="n">
        <f aca="false">IF(AND(ISNUMBER(S162),ISNUMBER(D162),D162&gt;0),S162/D162,"")</f>
        <v>0.493589743589744</v>
      </c>
      <c r="U162" s="10" t="n">
        <v>0.097</v>
      </c>
      <c r="V162" s="10" t="n">
        <v>0.15</v>
      </c>
      <c r="W162" s="10" t="n">
        <v>0.08</v>
      </c>
      <c r="X162" s="10" t="n">
        <v>0.1</v>
      </c>
      <c r="Y162" s="8" t="n">
        <v>0</v>
      </c>
      <c r="Z162" s="8" t="s">
        <v>74</v>
      </c>
      <c r="AA162" s="8" t="n">
        <v>15</v>
      </c>
      <c r="AB162" s="8" t="n">
        <v>0</v>
      </c>
      <c r="AC162" s="11" t="n">
        <f aca="false">IF(AND(ISNUMBER(AA162),ISNUMBER(D162),D162&gt;0),AA162/D162*100,"")</f>
        <v>9.61538461538462</v>
      </c>
      <c r="AD162" s="12" t="n">
        <v>3600</v>
      </c>
      <c r="AE162" s="8" t="s">
        <v>74</v>
      </c>
      <c r="AF162" s="8" t="s">
        <v>74</v>
      </c>
      <c r="AG162" s="12" t="n">
        <v>278.8</v>
      </c>
      <c r="AH162" s="12" t="n">
        <v>278.8</v>
      </c>
      <c r="AI162" s="12" t="n">
        <v>304.4</v>
      </c>
      <c r="AJ162" s="12" t="n">
        <v>329.73</v>
      </c>
      <c r="AK162" s="8" t="n">
        <v>16</v>
      </c>
      <c r="AL162" s="10" t="n">
        <v>0.25</v>
      </c>
      <c r="AM162" s="8" t="s">
        <v>74</v>
      </c>
      <c r="AN162" s="12" t="n">
        <v>32</v>
      </c>
      <c r="AO162" s="8" t="s">
        <v>74</v>
      </c>
      <c r="AP162" s="8" t="s">
        <v>74</v>
      </c>
      <c r="AQ162" s="10" t="n">
        <v>0.8</v>
      </c>
      <c r="AR162" s="8" t="n">
        <v>5</v>
      </c>
      <c r="AS162" s="8" t="n">
        <v>3</v>
      </c>
      <c r="AT162" s="8" t="n">
        <v>0</v>
      </c>
      <c r="AU162" s="8" t="n">
        <v>0</v>
      </c>
      <c r="AV162" s="8" t="n">
        <v>0</v>
      </c>
      <c r="AW162" s="8" t="n">
        <v>3</v>
      </c>
      <c r="AX162" s="8" t="n">
        <v>2</v>
      </c>
      <c r="AY162" s="8" t="n">
        <v>2</v>
      </c>
      <c r="AZ162" s="8" t="n">
        <v>4</v>
      </c>
      <c r="BA162" s="8" t="n">
        <v>4</v>
      </c>
      <c r="BB162" s="8" t="n">
        <v>3</v>
      </c>
      <c r="BC162" s="8" t="n">
        <v>5</v>
      </c>
      <c r="BD162" s="8" t="n">
        <v>4</v>
      </c>
      <c r="BE162" s="8" t="n">
        <v>4</v>
      </c>
      <c r="BF162" s="8" t="n">
        <v>4</v>
      </c>
      <c r="BG162" s="8" t="n">
        <v>0</v>
      </c>
      <c r="BH162" s="8" t="n">
        <v>5</v>
      </c>
      <c r="BI162" s="8" t="n">
        <v>5</v>
      </c>
      <c r="BJ162" s="9" t="n">
        <v>6</v>
      </c>
      <c r="BK162" s="9" t="n">
        <v>1</v>
      </c>
      <c r="BL162" s="9" t="n">
        <v>10</v>
      </c>
      <c r="BM162" s="9" t="n">
        <v>3</v>
      </c>
      <c r="BN162" s="10" t="n">
        <v>0.2</v>
      </c>
      <c r="BO162" s="10" t="n">
        <v>0.3</v>
      </c>
      <c r="BP162" s="10" t="n">
        <f aca="false">IF(AND(ISNUMBER(BN162),ISNUMBER(BO162)),BN162+BO162,"")</f>
        <v>0.5</v>
      </c>
      <c r="BQ162" s="10" t="n">
        <v>0.3</v>
      </c>
      <c r="BR162" s="10" t="n">
        <v>0.2</v>
      </c>
      <c r="BS162" s="10" t="n">
        <v>0</v>
      </c>
    </row>
    <row r="163" customFormat="false" ht="15" hidden="false" customHeight="false" outlineLevel="0" collapsed="false">
      <c r="A163" s="8" t="s">
        <v>75</v>
      </c>
      <c r="B163" s="8" t="s">
        <v>122</v>
      </c>
      <c r="C163" s="8" t="n">
        <v>5</v>
      </c>
      <c r="D163" s="9" t="n">
        <v>235</v>
      </c>
      <c r="E163" s="9" t="n">
        <v>129</v>
      </c>
      <c r="F163" s="8" t="s">
        <v>76</v>
      </c>
      <c r="G163" s="8" t="s">
        <v>74</v>
      </c>
      <c r="H163" s="10" t="n">
        <v>0.8</v>
      </c>
      <c r="I163" s="10" t="n">
        <v>0.01</v>
      </c>
      <c r="J163" s="10" t="n">
        <v>0.01</v>
      </c>
      <c r="K163" s="8" t="n">
        <v>0</v>
      </c>
      <c r="L163" s="8"/>
      <c r="M163" s="10" t="n">
        <v>0.015</v>
      </c>
      <c r="N163" s="8" t="n">
        <v>0</v>
      </c>
      <c r="O163" s="9" t="n">
        <v>8</v>
      </c>
      <c r="P163" s="10" t="n">
        <f aca="false">IF(AND(ISNUMBER(O163),ISNUMBER(D163),D163&gt;0),O163/D163,"")</f>
        <v>0.0340425531914894</v>
      </c>
      <c r="Q163" s="9"/>
      <c r="R163" s="9" t="n">
        <v>1</v>
      </c>
      <c r="S163" s="9" t="n">
        <v>14</v>
      </c>
      <c r="T163" s="11" t="n">
        <f aca="false">IF(AND(ISNUMBER(S163),ISNUMBER(D163),D163&gt;0),S163/D163,"")</f>
        <v>0.0595744680851064</v>
      </c>
      <c r="U163" s="10" t="n">
        <v>0.08</v>
      </c>
      <c r="V163" s="10" t="n">
        <v>0.11</v>
      </c>
      <c r="W163" s="10" t="n">
        <v>0.085</v>
      </c>
      <c r="X163" s="10" t="n">
        <v>0.03</v>
      </c>
      <c r="Y163" s="8" t="n">
        <v>0</v>
      </c>
      <c r="Z163" s="8" t="s">
        <v>74</v>
      </c>
      <c r="AA163" s="8" t="n">
        <v>22</v>
      </c>
      <c r="AB163" s="8" t="n">
        <v>0</v>
      </c>
      <c r="AC163" s="11" t="n">
        <f aca="false">IF(AND(ISNUMBER(AA163),ISNUMBER(D163),D163&gt;0),AA163/D163*100,"")</f>
        <v>9.36170212765958</v>
      </c>
      <c r="AD163" s="12" t="n">
        <v>2800</v>
      </c>
      <c r="AE163" s="8" t="s">
        <v>74</v>
      </c>
      <c r="AF163" s="8" t="s">
        <v>77</v>
      </c>
      <c r="AG163" s="12" t="n">
        <v>375</v>
      </c>
      <c r="AH163" s="12" t="n">
        <v>432</v>
      </c>
      <c r="AI163" s="12" t="n">
        <v>491</v>
      </c>
      <c r="AJ163" s="12" t="n">
        <v>740</v>
      </c>
      <c r="AK163" s="8" t="n">
        <v>20</v>
      </c>
      <c r="AL163" s="10" t="n">
        <v>1.5</v>
      </c>
      <c r="AM163" s="8" t="s">
        <v>74</v>
      </c>
      <c r="AN163" s="12" t="n">
        <v>29</v>
      </c>
      <c r="AO163" s="8" t="s">
        <v>77</v>
      </c>
      <c r="AP163" s="8" t="s">
        <v>74</v>
      </c>
      <c r="AQ163" s="10" t="n">
        <v>0.8</v>
      </c>
      <c r="AR163" s="8" t="n">
        <v>2</v>
      </c>
      <c r="AS163" s="8" t="n">
        <v>1</v>
      </c>
      <c r="AT163" s="8" t="n">
        <v>1</v>
      </c>
      <c r="AU163" s="8" t="n">
        <v>1</v>
      </c>
      <c r="AV163" s="8" t="n">
        <v>0</v>
      </c>
      <c r="AW163" s="8" t="n">
        <v>0</v>
      </c>
      <c r="AX163" s="8" t="n">
        <v>1</v>
      </c>
      <c r="AY163" s="8" t="n">
        <v>2</v>
      </c>
      <c r="AZ163" s="8" t="n">
        <v>2</v>
      </c>
      <c r="BA163" s="8" t="n">
        <v>2</v>
      </c>
      <c r="BB163" s="8" t="n">
        <v>1</v>
      </c>
      <c r="BC163" s="8" t="n">
        <v>1</v>
      </c>
      <c r="BD163" s="8" t="n">
        <v>0</v>
      </c>
      <c r="BE163" s="8" t="n">
        <v>1</v>
      </c>
      <c r="BF163" s="8" t="n">
        <v>1</v>
      </c>
      <c r="BG163" s="8" t="n">
        <v>0</v>
      </c>
      <c r="BH163" s="8" t="n">
        <v>1</v>
      </c>
      <c r="BI163" s="8" t="n">
        <v>2</v>
      </c>
      <c r="BJ163" s="9" t="n">
        <v>4</v>
      </c>
      <c r="BK163" s="9" t="n">
        <v>0</v>
      </c>
      <c r="BL163" s="9" t="n">
        <v>0</v>
      </c>
      <c r="BM163" s="9" t="n">
        <v>6</v>
      </c>
      <c r="BN163" s="10" t="n">
        <v>0.1</v>
      </c>
      <c r="BO163" s="10" t="n">
        <v>0.1</v>
      </c>
      <c r="BP163" s="10" t="n">
        <f aca="false">IF(AND(ISNUMBER(BN163),ISNUMBER(BO163)),BN163+BO163,"")</f>
        <v>0.2</v>
      </c>
      <c r="BQ163" s="10" t="n">
        <v>0.3</v>
      </c>
      <c r="BR163" s="10" t="n">
        <v>0.3</v>
      </c>
      <c r="BS163" s="10" t="n">
        <v>0.2</v>
      </c>
    </row>
    <row r="164" customFormat="false" ht="15" hidden="false" customHeight="false" outlineLevel="0" collapsed="false">
      <c r="A164" s="8" t="s">
        <v>78</v>
      </c>
      <c r="B164" s="8" t="s">
        <v>122</v>
      </c>
      <c r="C164" s="8" t="n">
        <v>5</v>
      </c>
      <c r="D164" s="9" t="n">
        <v>72</v>
      </c>
      <c r="E164" s="9" t="n">
        <v>58</v>
      </c>
      <c r="F164" s="8" t="s">
        <v>73</v>
      </c>
      <c r="G164" s="8" t="s">
        <v>74</v>
      </c>
      <c r="H164" s="10" t="n">
        <v>0</v>
      </c>
      <c r="I164" s="10" t="n">
        <v>0.003</v>
      </c>
      <c r="J164" s="10" t="n">
        <v>0.014</v>
      </c>
      <c r="K164" s="8" t="n">
        <v>0</v>
      </c>
      <c r="L164" s="8" t="n">
        <v>15</v>
      </c>
      <c r="M164" s="10" t="n">
        <v>0.011</v>
      </c>
      <c r="N164" s="8" t="n">
        <v>0</v>
      </c>
      <c r="O164" s="9" t="n">
        <v>3</v>
      </c>
      <c r="P164" s="10" t="n">
        <f aca="false">IF(AND(ISNUMBER(O164),ISNUMBER(D164),D164&gt;0),O164/D164,"")</f>
        <v>0.0416666666666667</v>
      </c>
      <c r="Q164" s="9" t="n">
        <v>1</v>
      </c>
      <c r="R164" s="9" t="n">
        <v>0</v>
      </c>
      <c r="S164" s="9" t="n">
        <v>43</v>
      </c>
      <c r="T164" s="11" t="n">
        <f aca="false">IF(AND(ISNUMBER(S164),ISNUMBER(D164),D164&gt;0),S164/D164,"")</f>
        <v>0.597222222222222</v>
      </c>
      <c r="U164" s="10" t="n">
        <v>0.1</v>
      </c>
      <c r="V164" s="10" t="n">
        <v>0.105</v>
      </c>
      <c r="W164" s="10" t="n">
        <v>0.095</v>
      </c>
      <c r="X164" s="10" t="n">
        <v>0.175</v>
      </c>
      <c r="Y164" s="8" t="n">
        <v>0</v>
      </c>
      <c r="Z164" s="8" t="s">
        <v>74</v>
      </c>
      <c r="AA164" s="8" t="n">
        <v>5</v>
      </c>
      <c r="AB164" s="8" t="n">
        <v>0</v>
      </c>
      <c r="AC164" s="11" t="n">
        <f aca="false">IF(AND(ISNUMBER(AA164),ISNUMBER(D164),D164&gt;0),AA164/D164*100,"")</f>
        <v>6.94444444444445</v>
      </c>
      <c r="AD164" s="12" t="n">
        <v>1970</v>
      </c>
      <c r="AE164" s="8" t="s">
        <v>74</v>
      </c>
      <c r="AF164" s="8" t="s">
        <v>74</v>
      </c>
      <c r="AG164" s="12" t="n">
        <v>340</v>
      </c>
      <c r="AH164" s="12" t="n">
        <v>396</v>
      </c>
      <c r="AI164" s="12" t="n">
        <v>430</v>
      </c>
      <c r="AJ164" s="12" t="n">
        <v>641</v>
      </c>
      <c r="AK164" s="8" t="n">
        <v>24</v>
      </c>
      <c r="AL164" s="10" t="n">
        <v>0.45</v>
      </c>
      <c r="AM164" s="8" t="s">
        <v>74</v>
      </c>
      <c r="AN164" s="12" t="n">
        <v>42</v>
      </c>
      <c r="AO164" s="8" t="s">
        <v>77</v>
      </c>
      <c r="AP164" s="8" t="s">
        <v>74</v>
      </c>
      <c r="AQ164" s="10" t="n">
        <v>0.9</v>
      </c>
      <c r="AR164" s="8" t="n">
        <v>1</v>
      </c>
      <c r="AS164" s="8" t="n">
        <v>0</v>
      </c>
      <c r="AT164" s="8" t="n">
        <v>0</v>
      </c>
      <c r="AU164" s="8" t="n">
        <v>1</v>
      </c>
      <c r="AV164" s="8" t="n">
        <v>0</v>
      </c>
      <c r="AW164" s="8" t="n">
        <v>0</v>
      </c>
      <c r="AX164" s="8" t="n">
        <v>0</v>
      </c>
      <c r="AY164" s="8" t="n">
        <v>1</v>
      </c>
      <c r="AZ164" s="8" t="n">
        <v>1</v>
      </c>
      <c r="BA164" s="8" t="n">
        <v>1</v>
      </c>
      <c r="BB164" s="8" t="n">
        <v>1</v>
      </c>
      <c r="BC164" s="8" t="n">
        <v>1</v>
      </c>
      <c r="BD164" s="8" t="n">
        <v>1</v>
      </c>
      <c r="BE164" s="8" t="n">
        <v>0</v>
      </c>
      <c r="BF164" s="8" t="n">
        <v>1</v>
      </c>
      <c r="BG164" s="8" t="n">
        <v>0</v>
      </c>
      <c r="BH164" s="8" t="n">
        <v>1</v>
      </c>
      <c r="BI164" s="8" t="n">
        <v>3</v>
      </c>
      <c r="BJ164" s="9" t="n">
        <v>1</v>
      </c>
      <c r="BK164" s="9" t="n">
        <v>0</v>
      </c>
      <c r="BL164" s="9" t="n">
        <v>1</v>
      </c>
      <c r="BM164" s="9" t="n">
        <v>2</v>
      </c>
      <c r="BN164" s="10" t="n">
        <v>0</v>
      </c>
      <c r="BO164" s="10" t="n">
        <v>0</v>
      </c>
      <c r="BP164" s="10" t="n">
        <f aca="false">IF(AND(ISNUMBER(BN164),ISNUMBER(BO164)),BN164+BO164,"")</f>
        <v>0</v>
      </c>
      <c r="BQ164" s="10" t="n">
        <v>0</v>
      </c>
      <c r="BR164" s="10" t="n">
        <v>0.9</v>
      </c>
      <c r="BS164" s="10" t="n">
        <v>0.1</v>
      </c>
    </row>
    <row r="165" customFormat="false" ht="15" hidden="false" customHeight="false" outlineLevel="0" collapsed="false">
      <c r="A165" s="8" t="s">
        <v>79</v>
      </c>
      <c r="B165" s="8" t="s">
        <v>122</v>
      </c>
      <c r="C165" s="8" t="n">
        <v>5</v>
      </c>
      <c r="D165" s="9" t="n">
        <v>8</v>
      </c>
      <c r="E165" s="9" t="n">
        <v>17</v>
      </c>
      <c r="F165" s="8" t="s">
        <v>73</v>
      </c>
      <c r="G165" s="8" t="s">
        <v>77</v>
      </c>
      <c r="H165" s="10" t="n">
        <v>0</v>
      </c>
      <c r="I165" s="10" t="n">
        <v>0.15</v>
      </c>
      <c r="J165" s="10" t="n">
        <v>0.15</v>
      </c>
      <c r="K165" s="8" t="n">
        <v>1</v>
      </c>
      <c r="L165" s="8" t="n">
        <v>15</v>
      </c>
      <c r="M165" s="10"/>
      <c r="N165" s="8" t="n">
        <v>0</v>
      </c>
      <c r="O165" s="9" t="n">
        <v>1</v>
      </c>
      <c r="P165" s="10" t="n">
        <f aca="false">IF(AND(ISNUMBER(O165),ISNUMBER(D165),D165&gt;0),O165/D165,"")</f>
        <v>0.125</v>
      </c>
      <c r="Q165" s="9" t="n">
        <v>0</v>
      </c>
      <c r="R165" s="9" t="n">
        <v>0</v>
      </c>
      <c r="S165" s="9" t="n">
        <v>0</v>
      </c>
      <c r="T165" s="11" t="n">
        <f aca="false">IF(AND(ISNUMBER(S165),ISNUMBER(D165),D165&gt;0),S165/D165,"")</f>
        <v>0</v>
      </c>
      <c r="U165" s="10" t="n">
        <v>0.06</v>
      </c>
      <c r="V165" s="10" t="n">
        <v>0.09</v>
      </c>
      <c r="W165" s="10" t="n">
        <v>0.03</v>
      </c>
      <c r="X165" s="10"/>
      <c r="Y165" s="8" t="n">
        <v>0</v>
      </c>
      <c r="Z165" s="8" t="s">
        <v>77</v>
      </c>
      <c r="AA165" s="8" t="n">
        <v>0</v>
      </c>
      <c r="AB165" s="8" t="n">
        <v>0</v>
      </c>
      <c r="AC165" s="11" t="n">
        <f aca="false">IF(AND(ISNUMBER(AA165),ISNUMBER(D165),D165&gt;0),AA165/D165*100,"")</f>
        <v>0</v>
      </c>
      <c r="AD165" s="12"/>
      <c r="AE165" s="8" t="s">
        <v>74</v>
      </c>
      <c r="AF165" s="8" t="s">
        <v>77</v>
      </c>
      <c r="AG165" s="12" t="n">
        <v>248.93</v>
      </c>
      <c r="AH165" s="12" t="n">
        <v>248.93</v>
      </c>
      <c r="AI165" s="12" t="n">
        <v>288.11</v>
      </c>
      <c r="AJ165" s="12" t="n">
        <v>325.34</v>
      </c>
      <c r="AK165" s="8" t="n">
        <v>15</v>
      </c>
      <c r="AL165" s="10" t="n">
        <v>1</v>
      </c>
      <c r="AM165" s="8" t="s">
        <v>77</v>
      </c>
      <c r="AN165" s="12"/>
      <c r="AO165" s="8" t="s">
        <v>77</v>
      </c>
      <c r="AP165" s="8" t="s">
        <v>77</v>
      </c>
      <c r="AQ165" s="10"/>
      <c r="AR165" s="8" t="n">
        <v>3</v>
      </c>
      <c r="AS165" s="8" t="n">
        <v>3</v>
      </c>
      <c r="AT165" s="8" t="n">
        <v>3</v>
      </c>
      <c r="AU165" s="8" t="n">
        <v>3</v>
      </c>
      <c r="AV165" s="8" t="n">
        <v>2</v>
      </c>
      <c r="AW165" s="8" t="n">
        <v>0</v>
      </c>
      <c r="AX165" s="8" t="n">
        <v>0</v>
      </c>
      <c r="AY165" s="8" t="n">
        <v>0</v>
      </c>
      <c r="AZ165" s="8" t="n">
        <v>0</v>
      </c>
      <c r="BA165" s="8" t="n">
        <v>0</v>
      </c>
      <c r="BB165" s="8" t="n">
        <v>0</v>
      </c>
      <c r="BC165" s="8" t="n">
        <v>0</v>
      </c>
      <c r="BD165" s="8" t="n">
        <v>0</v>
      </c>
      <c r="BE165" s="8" t="n">
        <v>0</v>
      </c>
      <c r="BF165" s="8" t="n">
        <v>0</v>
      </c>
      <c r="BG165" s="8"/>
      <c r="BH165" s="8" t="n">
        <v>0</v>
      </c>
      <c r="BI165" s="8" t="n">
        <v>0</v>
      </c>
      <c r="BJ165" s="9" t="n">
        <v>0</v>
      </c>
      <c r="BK165" s="9" t="n">
        <v>0</v>
      </c>
      <c r="BL165" s="9" t="n">
        <v>0</v>
      </c>
      <c r="BM165" s="9" t="n">
        <v>1</v>
      </c>
      <c r="BN165" s="10" t="n">
        <v>0</v>
      </c>
      <c r="BO165" s="10" t="n">
        <v>0</v>
      </c>
      <c r="BP165" s="10" t="n">
        <f aca="false">IF(AND(ISNUMBER(BN165),ISNUMBER(BO165)),BN165+BO165,"")</f>
        <v>0</v>
      </c>
      <c r="BQ165" s="10" t="n">
        <v>1</v>
      </c>
      <c r="BR165" s="10" t="n">
        <v>0</v>
      </c>
      <c r="BS165" s="10" t="n">
        <v>0</v>
      </c>
    </row>
    <row r="166" customFormat="false" ht="15" hidden="false" customHeight="false" outlineLevel="0" collapsed="false">
      <c r="A166" s="8" t="s">
        <v>80</v>
      </c>
      <c r="B166" s="8" t="s">
        <v>122</v>
      </c>
      <c r="C166" s="8" t="n">
        <v>5</v>
      </c>
      <c r="D166" s="9" t="n">
        <v>109</v>
      </c>
      <c r="E166" s="9" t="n">
        <v>49</v>
      </c>
      <c r="F166" s="8" t="s">
        <v>81</v>
      </c>
      <c r="G166" s="8" t="s">
        <v>74</v>
      </c>
      <c r="H166" s="10" t="n">
        <v>0</v>
      </c>
      <c r="I166" s="10" t="n">
        <v>0.045</v>
      </c>
      <c r="J166" s="10" t="n">
        <v>0.003</v>
      </c>
      <c r="K166" s="8" t="n">
        <v>0</v>
      </c>
      <c r="L166" s="8" t="n">
        <v>7</v>
      </c>
      <c r="M166" s="10" t="n">
        <v>0.019</v>
      </c>
      <c r="N166" s="8" t="n">
        <v>0</v>
      </c>
      <c r="O166" s="9" t="n">
        <v>7</v>
      </c>
      <c r="P166" s="10" t="n">
        <f aca="false">IF(AND(ISNUMBER(O166),ISNUMBER(D166),D166&gt;0),O166/D166,"")</f>
        <v>0.0642201834862385</v>
      </c>
      <c r="Q166" s="9" t="n">
        <v>3</v>
      </c>
      <c r="R166" s="9" t="n">
        <v>3</v>
      </c>
      <c r="S166" s="9" t="n">
        <v>21</v>
      </c>
      <c r="T166" s="11" t="n">
        <f aca="false">IF(AND(ISNUMBER(S166),ISNUMBER(D166),D166&gt;0),S166/D166,"")</f>
        <v>0.192660550458716</v>
      </c>
      <c r="U166" s="10" t="n">
        <v>0.087</v>
      </c>
      <c r="V166" s="10" t="n">
        <v>0.1</v>
      </c>
      <c r="W166" s="10" t="n">
        <v>0.07</v>
      </c>
      <c r="X166" s="10" t="n">
        <v>0.05</v>
      </c>
      <c r="Y166" s="8" t="n">
        <v>0</v>
      </c>
      <c r="Z166" s="8" t="s">
        <v>74</v>
      </c>
      <c r="AA166" s="8" t="n">
        <v>11</v>
      </c>
      <c r="AB166" s="8" t="n">
        <v>0</v>
      </c>
      <c r="AC166" s="11" t="n">
        <f aca="false">IF(AND(ISNUMBER(AA166),ISNUMBER(D166),D166&gt;0),AA166/D166*100,"")</f>
        <v>10.0917431192661</v>
      </c>
      <c r="AD166" s="12" t="n">
        <v>1250</v>
      </c>
      <c r="AE166" s="8" t="s">
        <v>74</v>
      </c>
      <c r="AF166" s="8" t="s">
        <v>77</v>
      </c>
      <c r="AG166" s="12" t="n">
        <v>278.8</v>
      </c>
      <c r="AH166" s="12" t="n">
        <v>295.66</v>
      </c>
      <c r="AI166" s="12" t="n">
        <v>336.35</v>
      </c>
      <c r="AJ166" s="12" t="n">
        <v>374.33</v>
      </c>
      <c r="AK166" s="8" t="n">
        <v>21</v>
      </c>
      <c r="AL166" s="10" t="n">
        <v>0.5</v>
      </c>
      <c r="AM166" s="8" t="s">
        <v>77</v>
      </c>
      <c r="AN166" s="12"/>
      <c r="AO166" s="8" t="s">
        <v>77</v>
      </c>
      <c r="AP166" s="8" t="s">
        <v>74</v>
      </c>
      <c r="AQ166" s="10" t="n">
        <v>0.8</v>
      </c>
      <c r="AR166" s="8" t="n">
        <v>2</v>
      </c>
      <c r="AS166" s="8" t="n">
        <v>1</v>
      </c>
      <c r="AT166" s="8"/>
      <c r="AU166" s="8" t="n">
        <v>1</v>
      </c>
      <c r="AV166" s="8" t="n">
        <v>2</v>
      </c>
      <c r="AW166" s="8" t="n">
        <v>2</v>
      </c>
      <c r="AX166" s="8" t="n">
        <v>2</v>
      </c>
      <c r="AY166" s="8" t="n">
        <v>1</v>
      </c>
      <c r="AZ166" s="8" t="n">
        <v>2</v>
      </c>
      <c r="BA166" s="8" t="n">
        <v>2</v>
      </c>
      <c r="BB166" s="8" t="n">
        <v>1</v>
      </c>
      <c r="BC166" s="8" t="n">
        <v>3</v>
      </c>
      <c r="BD166" s="8" t="n">
        <v>1</v>
      </c>
      <c r="BE166" s="8" t="n">
        <v>1</v>
      </c>
      <c r="BF166" s="8" t="n">
        <v>1</v>
      </c>
      <c r="BG166" s="8" t="n">
        <v>1</v>
      </c>
      <c r="BH166" s="8" t="n">
        <v>4</v>
      </c>
      <c r="BI166" s="8" t="n">
        <v>1</v>
      </c>
      <c r="BJ166" s="9" t="n">
        <v>6</v>
      </c>
      <c r="BK166" s="9" t="n">
        <v>0</v>
      </c>
      <c r="BL166" s="9" t="n">
        <v>0</v>
      </c>
      <c r="BM166" s="9" t="n">
        <v>2</v>
      </c>
      <c r="BN166" s="10" t="n">
        <v>0</v>
      </c>
      <c r="BO166" s="10" t="n">
        <v>0</v>
      </c>
      <c r="BP166" s="10" t="n">
        <f aca="false">IF(AND(ISNUMBER(BN166),ISNUMBER(BO166)),BN166+BO166,"")</f>
        <v>0</v>
      </c>
      <c r="BQ166" s="10" t="n">
        <v>0.3</v>
      </c>
      <c r="BR166" s="10" t="n">
        <v>0.4</v>
      </c>
      <c r="BS166" s="10" t="n">
        <v>0.3</v>
      </c>
    </row>
    <row r="167" customFormat="false" ht="15" hidden="false" customHeight="false" outlineLevel="0" collapsed="false">
      <c r="A167" s="8" t="s">
        <v>82</v>
      </c>
      <c r="B167" s="8" t="s">
        <v>122</v>
      </c>
      <c r="C167" s="8" t="n">
        <v>5</v>
      </c>
      <c r="D167" s="9" t="n">
        <v>209</v>
      </c>
      <c r="E167" s="9" t="n">
        <v>149</v>
      </c>
      <c r="F167" s="8" t="s">
        <v>76</v>
      </c>
      <c r="G167" s="8" t="s">
        <v>74</v>
      </c>
      <c r="H167" s="10" t="n">
        <v>0</v>
      </c>
      <c r="I167" s="10" t="n">
        <v>0.055</v>
      </c>
      <c r="J167" s="10" t="n">
        <v>0.043</v>
      </c>
      <c r="K167" s="8" t="n">
        <v>0</v>
      </c>
      <c r="L167" s="8" t="n">
        <v>15</v>
      </c>
      <c r="M167" s="10" t="n">
        <v>0.15</v>
      </c>
      <c r="N167" s="8" t="n">
        <v>1</v>
      </c>
      <c r="O167" s="9" t="n">
        <v>4</v>
      </c>
      <c r="P167" s="10" t="n">
        <f aca="false">IF(AND(ISNUMBER(O167),ISNUMBER(D167),D167&gt;0),O167/D167,"")</f>
        <v>0.0191387559808612</v>
      </c>
      <c r="Q167" s="9" t="n">
        <v>7</v>
      </c>
      <c r="R167" s="9" t="n">
        <v>7</v>
      </c>
      <c r="S167" s="9" t="n">
        <v>326</v>
      </c>
      <c r="T167" s="11" t="n">
        <f aca="false">IF(AND(ISNUMBER(S167),ISNUMBER(D167),D167&gt;0),S167/D167,"")</f>
        <v>1.55980861244019</v>
      </c>
      <c r="U167" s="10" t="n">
        <v>0.12</v>
      </c>
      <c r="V167" s="10" t="n">
        <v>0.12</v>
      </c>
      <c r="W167" s="10" t="n">
        <v>0.1</v>
      </c>
      <c r="X167" s="10" t="n">
        <v>0.02</v>
      </c>
      <c r="Y167" s="8" t="n">
        <v>0</v>
      </c>
      <c r="Z167" s="8" t="s">
        <v>74</v>
      </c>
      <c r="AA167" s="8" t="n">
        <v>5</v>
      </c>
      <c r="AB167" s="8" t="n">
        <v>0</v>
      </c>
      <c r="AC167" s="11" t="n">
        <f aca="false">IF(AND(ISNUMBER(AA167),ISNUMBER(D167),D167&gt;0),AA167/D167*100,"")</f>
        <v>2.39234449760766</v>
      </c>
      <c r="AD167" s="12" t="n">
        <v>858.8</v>
      </c>
      <c r="AE167" s="8" t="s">
        <v>74</v>
      </c>
      <c r="AF167" s="8" t="s">
        <v>77</v>
      </c>
      <c r="AG167" s="12" t="n">
        <v>320.8</v>
      </c>
      <c r="AH167" s="12" t="n">
        <v>350.96</v>
      </c>
      <c r="AI167" s="12" t="n">
        <v>391.2</v>
      </c>
      <c r="AJ167" s="12" t="n">
        <v>426.76</v>
      </c>
      <c r="AK167" s="8" t="n">
        <v>15</v>
      </c>
      <c r="AL167" s="10" t="n">
        <v>0.25</v>
      </c>
      <c r="AM167" s="8" t="s">
        <v>74</v>
      </c>
      <c r="AN167" s="12" t="n">
        <v>75</v>
      </c>
      <c r="AO167" s="8" t="s">
        <v>74</v>
      </c>
      <c r="AP167" s="8" t="s">
        <v>74</v>
      </c>
      <c r="AQ167" s="10" t="n">
        <v>0.7</v>
      </c>
      <c r="AR167" s="8" t="n">
        <v>3</v>
      </c>
      <c r="AS167" s="8" t="n">
        <v>2</v>
      </c>
      <c r="AT167" s="8" t="n">
        <v>1</v>
      </c>
      <c r="AU167" s="8" t="n">
        <v>0</v>
      </c>
      <c r="AV167" s="8" t="n">
        <v>3</v>
      </c>
      <c r="AW167" s="8" t="n">
        <v>4</v>
      </c>
      <c r="AX167" s="8" t="n">
        <v>2</v>
      </c>
      <c r="AY167" s="8" t="n">
        <v>1</v>
      </c>
      <c r="AZ167" s="8" t="n">
        <v>4</v>
      </c>
      <c r="BA167" s="8" t="n">
        <v>2</v>
      </c>
      <c r="BB167" s="8" t="n">
        <v>1</v>
      </c>
      <c r="BC167" s="8" t="n">
        <v>2</v>
      </c>
      <c r="BD167" s="8" t="n">
        <v>1</v>
      </c>
      <c r="BE167" s="8" t="n">
        <v>3</v>
      </c>
      <c r="BF167" s="8" t="n">
        <v>1</v>
      </c>
      <c r="BG167" s="8" t="n">
        <v>0</v>
      </c>
      <c r="BH167" s="8" t="n">
        <v>3</v>
      </c>
      <c r="BI167" s="8" t="n">
        <v>3</v>
      </c>
      <c r="BJ167" s="9" t="n">
        <v>4</v>
      </c>
      <c r="BK167" s="9"/>
      <c r="BL167" s="9"/>
      <c r="BM167" s="9" t="n">
        <v>1</v>
      </c>
      <c r="BN167" s="10" t="n">
        <v>0</v>
      </c>
      <c r="BO167" s="10" t="n">
        <v>0.5</v>
      </c>
      <c r="BP167" s="10" t="n">
        <f aca="false">IF(AND(ISNUMBER(BN167),ISNUMBER(BO167)),BN167+BO167,"")</f>
        <v>0.5</v>
      </c>
      <c r="BQ167" s="10" t="n">
        <v>0.3</v>
      </c>
      <c r="BR167" s="10" t="n">
        <v>0.1</v>
      </c>
      <c r="BS167" s="10" t="n">
        <v>0.1</v>
      </c>
    </row>
    <row r="168" customFormat="false" ht="15" hidden="false" customHeight="false" outlineLevel="0" collapsed="false">
      <c r="A168" s="8" t="s">
        <v>83</v>
      </c>
      <c r="B168" s="8" t="s">
        <v>122</v>
      </c>
      <c r="C168" s="8" t="n">
        <v>5</v>
      </c>
      <c r="D168" s="9" t="n">
        <v>1336</v>
      </c>
      <c r="E168" s="9" t="n">
        <v>1008</v>
      </c>
      <c r="F168" s="8" t="s">
        <v>76</v>
      </c>
      <c r="G168" s="8" t="s">
        <v>74</v>
      </c>
      <c r="H168" s="10" t="n">
        <v>0.8</v>
      </c>
      <c r="I168" s="10" t="n">
        <v>0.009</v>
      </c>
      <c r="J168" s="10" t="n">
        <v>0.031</v>
      </c>
      <c r="K168" s="8" t="n">
        <v>0</v>
      </c>
      <c r="L168" s="8" t="n">
        <v>30</v>
      </c>
      <c r="M168" s="10" t="n">
        <v>0.002</v>
      </c>
      <c r="N168" s="8" t="n">
        <v>0</v>
      </c>
      <c r="O168" s="9" t="n">
        <v>26</v>
      </c>
      <c r="P168" s="10" t="n">
        <f aca="false">IF(AND(ISNUMBER(O168),ISNUMBER(D168),D168&gt;0),O168/D168,"")</f>
        <v>0.0194610778443114</v>
      </c>
      <c r="Q168" s="9" t="n">
        <v>17</v>
      </c>
      <c r="R168" s="9" t="n">
        <v>14</v>
      </c>
      <c r="S168" s="9" t="n">
        <v>261</v>
      </c>
      <c r="T168" s="11" t="n">
        <f aca="false">IF(AND(ISNUMBER(S168),ISNUMBER(D168),D168&gt;0),S168/D168,"")</f>
        <v>0.195359281437126</v>
      </c>
      <c r="U168" s="10" t="n">
        <v>0.07</v>
      </c>
      <c r="V168" s="10" t="n">
        <v>0.06</v>
      </c>
      <c r="W168" s="10" t="n">
        <v>0.11</v>
      </c>
      <c r="X168" s="10" t="n">
        <v>0.03</v>
      </c>
      <c r="Y168" s="8" t="n">
        <v>0</v>
      </c>
      <c r="Z168" s="8" t="s">
        <v>74</v>
      </c>
      <c r="AA168" s="8" t="n">
        <v>15</v>
      </c>
      <c r="AB168" s="8" t="n">
        <v>0</v>
      </c>
      <c r="AC168" s="11" t="n">
        <f aca="false">IF(AND(ISNUMBER(AA168),ISNUMBER(D168),D168&gt;0),AA168/D168*100,"")</f>
        <v>1.12275449101796</v>
      </c>
      <c r="AD168" s="12" t="n">
        <v>2000</v>
      </c>
      <c r="AE168" s="8" t="s">
        <v>74</v>
      </c>
      <c r="AF168" s="8" t="s">
        <v>74</v>
      </c>
      <c r="AG168" s="12" t="n">
        <v>299.6</v>
      </c>
      <c r="AH168" s="12" t="n">
        <v>346.5</v>
      </c>
      <c r="AI168" s="12" t="n">
        <v>446.8</v>
      </c>
      <c r="AJ168" s="12" t="n">
        <v>584.9</v>
      </c>
      <c r="AK168" s="8" t="n">
        <v>32</v>
      </c>
      <c r="AL168" s="10" t="n">
        <v>0.85</v>
      </c>
      <c r="AM168" s="8" t="s">
        <v>74</v>
      </c>
      <c r="AN168" s="12" t="n">
        <v>13</v>
      </c>
      <c r="AO168" s="8" t="s">
        <v>77</v>
      </c>
      <c r="AP168" s="8" t="s">
        <v>74</v>
      </c>
      <c r="AQ168" s="10" t="n">
        <v>0.64</v>
      </c>
      <c r="AR168" s="8" t="n">
        <v>3</v>
      </c>
      <c r="AS168" s="8" t="n">
        <v>2</v>
      </c>
      <c r="AT168" s="8" t="n">
        <v>1</v>
      </c>
      <c r="AU168" s="8" t="n">
        <v>1</v>
      </c>
      <c r="AV168" s="8" t="n">
        <v>3</v>
      </c>
      <c r="AW168" s="8" t="n">
        <v>1</v>
      </c>
      <c r="AX168" s="8" t="n">
        <v>1</v>
      </c>
      <c r="AY168" s="8" t="n">
        <v>1</v>
      </c>
      <c r="AZ168" s="8" t="n">
        <v>2</v>
      </c>
      <c r="BA168" s="8"/>
      <c r="BB168" s="8" t="n">
        <v>1</v>
      </c>
      <c r="BC168" s="8" t="n">
        <v>1</v>
      </c>
      <c r="BD168" s="8" t="n">
        <v>1</v>
      </c>
      <c r="BE168" s="8" t="n">
        <v>0</v>
      </c>
      <c r="BF168" s="8" t="n">
        <v>2</v>
      </c>
      <c r="BG168" s="8" t="n">
        <v>1</v>
      </c>
      <c r="BH168" s="8" t="n">
        <v>2</v>
      </c>
      <c r="BI168" s="8" t="n">
        <v>3</v>
      </c>
      <c r="BJ168" s="9" t="n">
        <v>24</v>
      </c>
      <c r="BK168" s="9"/>
      <c r="BL168" s="9" t="n">
        <v>7</v>
      </c>
      <c r="BM168" s="9" t="n">
        <v>4</v>
      </c>
      <c r="BN168" s="10" t="n">
        <v>0</v>
      </c>
      <c r="BO168" s="10" t="n">
        <v>0</v>
      </c>
      <c r="BP168" s="10" t="n">
        <f aca="false">IF(AND(ISNUMBER(BN168),ISNUMBER(BO168)),BN168+BO168,"")</f>
        <v>0</v>
      </c>
      <c r="BQ168" s="10" t="n">
        <v>0.1</v>
      </c>
      <c r="BR168" s="10" t="n">
        <v>0.7</v>
      </c>
      <c r="BS168" s="10" t="n">
        <v>0.2</v>
      </c>
    </row>
    <row r="169" customFormat="false" ht="15" hidden="false" customHeight="false" outlineLevel="0" collapsed="false">
      <c r="A169" s="8" t="s">
        <v>84</v>
      </c>
      <c r="B169" s="8" t="s">
        <v>122</v>
      </c>
      <c r="C169" s="8" t="n">
        <v>5</v>
      </c>
      <c r="D169" s="9" t="n">
        <v>205</v>
      </c>
      <c r="E169" s="9" t="n">
        <v>515</v>
      </c>
      <c r="F169" s="8" t="s">
        <v>76</v>
      </c>
      <c r="G169" s="8" t="s">
        <v>74</v>
      </c>
      <c r="H169" s="10" t="n">
        <v>0.7</v>
      </c>
      <c r="I169" s="10" t="n">
        <v>0.018</v>
      </c>
      <c r="J169" s="10" t="n">
        <v>0.019</v>
      </c>
      <c r="K169" s="8" t="n">
        <v>0</v>
      </c>
      <c r="L169" s="8" t="n">
        <v>45</v>
      </c>
      <c r="M169" s="10" t="n">
        <v>0.001</v>
      </c>
      <c r="N169" s="8" t="n">
        <v>0</v>
      </c>
      <c r="O169" s="9" t="n">
        <v>10</v>
      </c>
      <c r="P169" s="10" t="n">
        <f aca="false">IF(AND(ISNUMBER(O169),ISNUMBER(D169),D169&gt;0),O169/D169,"")</f>
        <v>0.0487804878048781</v>
      </c>
      <c r="Q169" s="9" t="n">
        <v>20</v>
      </c>
      <c r="R169" s="9" t="n">
        <v>15</v>
      </c>
      <c r="S169" s="9" t="n">
        <v>53</v>
      </c>
      <c r="T169" s="11" t="n">
        <f aca="false">IF(AND(ISNUMBER(S169),ISNUMBER(D169),D169&gt;0),S169/D169,"")</f>
        <v>0.258536585365854</v>
      </c>
      <c r="U169" s="10" t="n">
        <v>0.063</v>
      </c>
      <c r="V169" s="10" t="n">
        <v>0.095</v>
      </c>
      <c r="W169" s="10" t="n">
        <v>0.085</v>
      </c>
      <c r="X169" s="10" t="n">
        <v>0.04</v>
      </c>
      <c r="Y169" s="8" t="n">
        <v>0</v>
      </c>
      <c r="Z169" s="8" t="s">
        <v>74</v>
      </c>
      <c r="AA169" s="8" t="n">
        <v>20</v>
      </c>
      <c r="AB169" s="8" t="n">
        <v>0</v>
      </c>
      <c r="AC169" s="11" t="n">
        <f aca="false">IF(AND(ISNUMBER(AA169),ISNUMBER(D169),D169&gt;0),AA169/D169*100,"")</f>
        <v>9.75609756097561</v>
      </c>
      <c r="AD169" s="12" t="n">
        <v>1500</v>
      </c>
      <c r="AE169" s="8" t="s">
        <v>74</v>
      </c>
      <c r="AF169" s="8" t="s">
        <v>77</v>
      </c>
      <c r="AG169" s="12" t="n">
        <v>283</v>
      </c>
      <c r="AH169" s="12" t="n">
        <v>326</v>
      </c>
      <c r="AI169" s="12" t="n">
        <v>356</v>
      </c>
      <c r="AJ169" s="12" t="n">
        <v>388</v>
      </c>
      <c r="AK169" s="8" t="n">
        <v>18</v>
      </c>
      <c r="AL169" s="10" t="n">
        <v>0.25</v>
      </c>
      <c r="AM169" s="8" t="s">
        <v>74</v>
      </c>
      <c r="AN169" s="12" t="n">
        <v>70</v>
      </c>
      <c r="AO169" s="8" t="s">
        <v>74</v>
      </c>
      <c r="AP169" s="8"/>
      <c r="AQ169" s="10" t="n">
        <v>0.95</v>
      </c>
      <c r="AR169" s="8" t="n">
        <v>4</v>
      </c>
      <c r="AS169" s="8" t="n">
        <v>1</v>
      </c>
      <c r="AT169" s="8" t="n">
        <v>1</v>
      </c>
      <c r="AU169" s="8" t="n">
        <v>1</v>
      </c>
      <c r="AV169" s="8" t="n">
        <v>1</v>
      </c>
      <c r="AW169" s="8" t="n">
        <v>4</v>
      </c>
      <c r="AX169" s="8" t="n">
        <v>2</v>
      </c>
      <c r="AY169" s="8" t="n">
        <v>1</v>
      </c>
      <c r="AZ169" s="8" t="n">
        <v>3</v>
      </c>
      <c r="BA169" s="8" t="n">
        <v>4</v>
      </c>
      <c r="BB169" s="8" t="n">
        <v>4</v>
      </c>
      <c r="BC169" s="8" t="n">
        <v>5</v>
      </c>
      <c r="BD169" s="8" t="n">
        <v>1</v>
      </c>
      <c r="BE169" s="8" t="n">
        <v>3</v>
      </c>
      <c r="BF169" s="8" t="n">
        <v>3</v>
      </c>
      <c r="BG169" s="8" t="n">
        <v>1</v>
      </c>
      <c r="BH169" s="8" t="n">
        <v>4</v>
      </c>
      <c r="BI169" s="8" t="n">
        <v>5</v>
      </c>
      <c r="BJ169" s="9" t="n">
        <v>13</v>
      </c>
      <c r="BK169" s="9" t="n">
        <v>7</v>
      </c>
      <c r="BL169" s="9" t="n">
        <v>0</v>
      </c>
      <c r="BM169" s="9" t="n">
        <v>5</v>
      </c>
      <c r="BN169" s="10" t="n">
        <v>0.3</v>
      </c>
      <c r="BO169" s="10" t="n">
        <v>0</v>
      </c>
      <c r="BP169" s="10" t="n">
        <f aca="false">IF(AND(ISNUMBER(BN169),ISNUMBER(BO169)),BN169+BO169,"")</f>
        <v>0.3</v>
      </c>
      <c r="BQ169" s="10" t="n">
        <v>0</v>
      </c>
      <c r="BR169" s="10" t="n">
        <v>0.6</v>
      </c>
      <c r="BS169" s="10" t="n">
        <v>0.1</v>
      </c>
    </row>
    <row r="170" customFormat="false" ht="15" hidden="false" customHeight="false" outlineLevel="0" collapsed="false">
      <c r="A170" s="8" t="s">
        <v>85</v>
      </c>
      <c r="B170" s="8" t="s">
        <v>122</v>
      </c>
      <c r="C170" s="8" t="n">
        <v>5</v>
      </c>
      <c r="D170" s="9" t="n">
        <v>203</v>
      </c>
      <c r="E170" s="9" t="n">
        <v>95</v>
      </c>
      <c r="F170" s="8" t="s">
        <v>81</v>
      </c>
      <c r="G170" s="8" t="s">
        <v>74</v>
      </c>
      <c r="H170" s="10"/>
      <c r="I170" s="10" t="n">
        <v>0.032</v>
      </c>
      <c r="J170" s="10" t="n">
        <v>0.004</v>
      </c>
      <c r="K170" s="8" t="n">
        <v>0</v>
      </c>
      <c r="L170" s="8" t="n">
        <v>5</v>
      </c>
      <c r="M170" s="10" t="n">
        <v>0.02</v>
      </c>
      <c r="N170" s="8" t="n">
        <v>0</v>
      </c>
      <c r="O170" s="9" t="n">
        <v>11</v>
      </c>
      <c r="P170" s="10" t="n">
        <f aca="false">IF(AND(ISNUMBER(O170),ISNUMBER(D170),D170&gt;0),O170/D170,"")</f>
        <v>0.0541871921182266</v>
      </c>
      <c r="Q170" s="9" t="n">
        <v>10</v>
      </c>
      <c r="R170" s="9" t="n">
        <v>10</v>
      </c>
      <c r="S170" s="9" t="n">
        <v>31</v>
      </c>
      <c r="T170" s="11" t="n">
        <f aca="false">IF(AND(ISNUMBER(S170),ISNUMBER(D170),D170&gt;0),S170/D170,"")</f>
        <v>0.152709359605911</v>
      </c>
      <c r="U170" s="10" t="n">
        <v>0.065</v>
      </c>
      <c r="V170" s="10" t="n">
        <v>0.1</v>
      </c>
      <c r="W170" s="10"/>
      <c r="X170" s="10" t="n">
        <v>0.075</v>
      </c>
      <c r="Y170" s="8" t="n">
        <v>0</v>
      </c>
      <c r="Z170" s="8" t="s">
        <v>74</v>
      </c>
      <c r="AA170" s="8" t="n">
        <v>6</v>
      </c>
      <c r="AB170" s="8" t="n">
        <v>0</v>
      </c>
      <c r="AC170" s="11" t="n">
        <f aca="false">IF(AND(ISNUMBER(AA170),ISNUMBER(D170),D170&gt;0),AA170/D170*100,"")</f>
        <v>2.95566502463054</v>
      </c>
      <c r="AD170" s="12" t="n">
        <v>2528</v>
      </c>
      <c r="AE170" s="8" t="s">
        <v>74</v>
      </c>
      <c r="AF170" s="8" t="s">
        <v>74</v>
      </c>
      <c r="AG170" s="12" t="n">
        <v>367</v>
      </c>
      <c r="AH170" s="12" t="n">
        <v>459</v>
      </c>
      <c r="AI170" s="12" t="n">
        <v>507</v>
      </c>
      <c r="AJ170" s="12" t="n">
        <v>705</v>
      </c>
      <c r="AK170" s="8" t="n">
        <v>33</v>
      </c>
      <c r="AL170" s="10" t="n">
        <v>1</v>
      </c>
      <c r="AM170" s="8" t="s">
        <v>74</v>
      </c>
      <c r="AN170" s="12" t="n">
        <v>21</v>
      </c>
      <c r="AO170" s="8" t="s">
        <v>77</v>
      </c>
      <c r="AP170" s="8" t="s">
        <v>74</v>
      </c>
      <c r="AQ170" s="10" t="n">
        <v>0.7</v>
      </c>
      <c r="AR170" s="8" t="n">
        <v>4</v>
      </c>
      <c r="AS170" s="8" t="n">
        <v>1</v>
      </c>
      <c r="AT170" s="8" t="n">
        <v>1</v>
      </c>
      <c r="AU170" s="8" t="n">
        <v>1</v>
      </c>
      <c r="AV170" s="8" t="n">
        <v>1</v>
      </c>
      <c r="AW170" s="8" t="n">
        <v>0</v>
      </c>
      <c r="AX170" s="8" t="n">
        <v>1</v>
      </c>
      <c r="AY170" s="8" t="n">
        <v>0</v>
      </c>
      <c r="AZ170" s="8" t="n">
        <v>0</v>
      </c>
      <c r="BA170" s="8" t="n">
        <v>4</v>
      </c>
      <c r="BB170" s="8" t="n">
        <v>5</v>
      </c>
      <c r="BC170" s="8" t="n">
        <v>4</v>
      </c>
      <c r="BD170" s="8" t="n">
        <v>1</v>
      </c>
      <c r="BE170" s="8" t="n">
        <v>0</v>
      </c>
      <c r="BF170" s="8" t="n">
        <v>1</v>
      </c>
      <c r="BG170" s="8" t="n">
        <v>0</v>
      </c>
      <c r="BH170" s="8" t="n">
        <v>0</v>
      </c>
      <c r="BI170" s="8" t="n">
        <v>1</v>
      </c>
      <c r="BJ170" s="9" t="n">
        <v>3</v>
      </c>
      <c r="BK170" s="9" t="n">
        <v>3</v>
      </c>
      <c r="BL170" s="9" t="n">
        <v>1</v>
      </c>
      <c r="BM170" s="9" t="n">
        <v>4</v>
      </c>
      <c r="BN170" s="10" t="n">
        <v>0.4</v>
      </c>
      <c r="BO170" s="10" t="n">
        <v>0.2</v>
      </c>
      <c r="BP170" s="10" t="n">
        <f aca="false">IF(AND(ISNUMBER(BN170),ISNUMBER(BO170)),BN170+BO170,"")</f>
        <v>0.6</v>
      </c>
      <c r="BQ170" s="10" t="n">
        <v>0</v>
      </c>
      <c r="BR170" s="10" t="n">
        <v>0.1</v>
      </c>
      <c r="BS170" s="10" t="n">
        <v>0.3</v>
      </c>
    </row>
    <row r="171" customFormat="false" ht="15" hidden="false" customHeight="false" outlineLevel="0" collapsed="false">
      <c r="A171" s="8" t="s">
        <v>86</v>
      </c>
      <c r="B171" s="8" t="s">
        <v>122</v>
      </c>
      <c r="C171" s="8" t="n">
        <v>5</v>
      </c>
      <c r="D171" s="9" t="n">
        <v>274</v>
      </c>
      <c r="E171" s="9" t="n">
        <v>70</v>
      </c>
      <c r="F171" s="8" t="s">
        <v>76</v>
      </c>
      <c r="G171" s="8" t="s">
        <v>77</v>
      </c>
      <c r="H171" s="10"/>
      <c r="I171" s="10" t="n">
        <v>0.027</v>
      </c>
      <c r="J171" s="10" t="n">
        <v>0.021</v>
      </c>
      <c r="K171" s="8" t="n">
        <v>0</v>
      </c>
      <c r="L171" s="8" t="n">
        <v>15</v>
      </c>
      <c r="M171" s="10" t="n">
        <v>0.019</v>
      </c>
      <c r="N171" s="8" t="n">
        <v>0</v>
      </c>
      <c r="O171" s="9" t="n">
        <v>52</v>
      </c>
      <c r="P171" s="10" t="n">
        <f aca="false">IF(AND(ISNUMBER(O171),ISNUMBER(D171),D171&gt;0),O171/D171,"")</f>
        <v>0.18978102189781</v>
      </c>
      <c r="Q171" s="9" t="n">
        <v>6</v>
      </c>
      <c r="R171" s="9" t="n">
        <v>4</v>
      </c>
      <c r="S171" s="9" t="n">
        <v>19</v>
      </c>
      <c r="T171" s="11" t="n">
        <f aca="false">IF(AND(ISNUMBER(S171),ISNUMBER(D171),D171&gt;0),S171/D171,"")</f>
        <v>0.0693430656934307</v>
      </c>
      <c r="U171" s="10" t="n">
        <v>0.05</v>
      </c>
      <c r="V171" s="10"/>
      <c r="W171" s="10"/>
      <c r="X171" s="10" t="n">
        <v>0.1</v>
      </c>
      <c r="Y171" s="8" t="n">
        <v>0</v>
      </c>
      <c r="Z171" s="8" t="s">
        <v>74</v>
      </c>
      <c r="AA171" s="8" t="n">
        <v>5</v>
      </c>
      <c r="AB171" s="8" t="n">
        <v>0</v>
      </c>
      <c r="AC171" s="11" t="n">
        <f aca="false">IF(AND(ISNUMBER(AA171),ISNUMBER(D171),D171&gt;0),AA171/D171*100,"")</f>
        <v>1.82481751824818</v>
      </c>
      <c r="AD171" s="12" t="n">
        <v>270</v>
      </c>
      <c r="AE171" s="8" t="s">
        <v>77</v>
      </c>
      <c r="AF171" s="8" t="s">
        <v>77</v>
      </c>
      <c r="AG171" s="12" t="n">
        <v>288</v>
      </c>
      <c r="AH171" s="12" t="n">
        <v>288</v>
      </c>
      <c r="AI171" s="12" t="n">
        <v>305</v>
      </c>
      <c r="AJ171" s="12" t="n">
        <v>320</v>
      </c>
      <c r="AK171" s="8" t="n">
        <v>20</v>
      </c>
      <c r="AL171" s="10" t="n">
        <v>0.25</v>
      </c>
      <c r="AM171" s="8" t="s">
        <v>74</v>
      </c>
      <c r="AN171" s="12" t="n">
        <v>33</v>
      </c>
      <c r="AO171" s="8" t="s">
        <v>77</v>
      </c>
      <c r="AP171" s="8" t="s">
        <v>77</v>
      </c>
      <c r="AQ171" s="10" t="n">
        <v>0.9</v>
      </c>
      <c r="AR171" s="8" t="n">
        <v>5</v>
      </c>
      <c r="AS171" s="8" t="n">
        <v>1</v>
      </c>
      <c r="AT171" s="8" t="n">
        <v>1</v>
      </c>
      <c r="AU171" s="8" t="n">
        <v>1</v>
      </c>
      <c r="AV171" s="8" t="n">
        <v>1</v>
      </c>
      <c r="AW171" s="8" t="n">
        <v>1</v>
      </c>
      <c r="AX171" s="8" t="n">
        <v>1</v>
      </c>
      <c r="AY171" s="8" t="n">
        <v>1</v>
      </c>
      <c r="AZ171" s="8" t="n">
        <v>4</v>
      </c>
      <c r="BA171" s="8" t="n">
        <v>5</v>
      </c>
      <c r="BB171" s="8" t="n">
        <v>1</v>
      </c>
      <c r="BC171" s="8" t="n">
        <v>3</v>
      </c>
      <c r="BD171" s="8" t="n">
        <v>1</v>
      </c>
      <c r="BE171" s="8" t="n">
        <v>1</v>
      </c>
      <c r="BF171" s="8" t="n">
        <v>0</v>
      </c>
      <c r="BG171" s="8" t="n">
        <v>0</v>
      </c>
      <c r="BH171" s="8" t="n">
        <v>0</v>
      </c>
      <c r="BI171" s="8" t="n">
        <v>3</v>
      </c>
      <c r="BJ171" s="9"/>
      <c r="BK171" s="9" t="n">
        <v>10</v>
      </c>
      <c r="BL171" s="9" t="n">
        <v>22</v>
      </c>
      <c r="BM171" s="9" t="n">
        <v>0</v>
      </c>
      <c r="BN171" s="10" t="n">
        <v>0</v>
      </c>
      <c r="BO171" s="10" t="n">
        <v>1</v>
      </c>
      <c r="BP171" s="10" t="n">
        <f aca="false">IF(AND(ISNUMBER(BN171),ISNUMBER(BO171)),BN171+BO171,"")</f>
        <v>1</v>
      </c>
      <c r="BQ171" s="10" t="n">
        <v>0</v>
      </c>
      <c r="BR171" s="10" t="n">
        <v>0</v>
      </c>
      <c r="BS171" s="10" t="n">
        <v>0</v>
      </c>
    </row>
    <row r="172" customFormat="false" ht="15" hidden="false" customHeight="false" outlineLevel="0" collapsed="false">
      <c r="A172" s="8" t="s">
        <v>87</v>
      </c>
      <c r="B172" s="8" t="s">
        <v>122</v>
      </c>
      <c r="C172" s="8" t="n">
        <v>5</v>
      </c>
      <c r="D172" s="9" t="n">
        <v>194</v>
      </c>
      <c r="E172" s="9" t="n">
        <v>88</v>
      </c>
      <c r="F172" s="8" t="s">
        <v>76</v>
      </c>
      <c r="G172" s="8" t="s">
        <v>74</v>
      </c>
      <c r="H172" s="10" t="n">
        <v>0.3</v>
      </c>
      <c r="I172" s="10" t="n">
        <v>0.05</v>
      </c>
      <c r="J172" s="10" t="n">
        <v>0.017</v>
      </c>
      <c r="K172" s="8" t="n">
        <v>0</v>
      </c>
      <c r="L172" s="8" t="n">
        <v>20</v>
      </c>
      <c r="M172" s="10" t="n">
        <v>0.03</v>
      </c>
      <c r="N172" s="8" t="n">
        <v>0</v>
      </c>
      <c r="O172" s="9" t="n">
        <v>14</v>
      </c>
      <c r="P172" s="10" t="n">
        <f aca="false">IF(AND(ISNUMBER(O172),ISNUMBER(D172),D172&gt;0),O172/D172,"")</f>
        <v>0.0721649484536082</v>
      </c>
      <c r="Q172" s="9" t="n">
        <v>21</v>
      </c>
      <c r="R172" s="9" t="n">
        <v>21</v>
      </c>
      <c r="S172" s="9" t="n">
        <v>7</v>
      </c>
      <c r="T172" s="11" t="n">
        <f aca="false">IF(AND(ISNUMBER(S172),ISNUMBER(D172),D172&gt;0),S172/D172,"")</f>
        <v>0.0360824742268041</v>
      </c>
      <c r="U172" s="10" t="n">
        <v>0.05</v>
      </c>
      <c r="V172" s="10"/>
      <c r="W172" s="10"/>
      <c r="X172" s="10" t="n">
        <v>0.1</v>
      </c>
      <c r="Y172" s="8" t="n">
        <v>0</v>
      </c>
      <c r="Z172" s="8" t="s">
        <v>74</v>
      </c>
      <c r="AA172" s="8" t="n">
        <v>30</v>
      </c>
      <c r="AB172" s="8" t="n">
        <v>0</v>
      </c>
      <c r="AC172" s="11" t="n">
        <f aca="false">IF(AND(ISNUMBER(AA172),ISNUMBER(D172),D172&gt;0),AA172/D172*100,"")</f>
        <v>15.4639175257732</v>
      </c>
      <c r="AD172" s="12" t="n">
        <v>95</v>
      </c>
      <c r="AE172" s="8" t="s">
        <v>74</v>
      </c>
      <c r="AF172" s="8" t="s">
        <v>74</v>
      </c>
      <c r="AG172" s="12" t="n">
        <v>278.8</v>
      </c>
      <c r="AH172" s="12" t="n">
        <v>348</v>
      </c>
      <c r="AI172" s="12" t="n">
        <v>441.72</v>
      </c>
      <c r="AJ172" s="12" t="n">
        <v>441.72</v>
      </c>
      <c r="AK172" s="8" t="n">
        <v>15</v>
      </c>
      <c r="AL172" s="10" t="n">
        <v>0.25</v>
      </c>
      <c r="AM172" s="8" t="s">
        <v>77</v>
      </c>
      <c r="AN172" s="12"/>
      <c r="AO172" s="8" t="s">
        <v>77</v>
      </c>
      <c r="AP172" s="8" t="s">
        <v>74</v>
      </c>
      <c r="AQ172" s="10" t="n">
        <v>0.85</v>
      </c>
      <c r="AR172" s="8" t="n">
        <v>4</v>
      </c>
      <c r="AS172" s="8" t="n">
        <v>3</v>
      </c>
      <c r="AT172" s="8" t="n">
        <v>1</v>
      </c>
      <c r="AU172" s="8" t="n">
        <v>2</v>
      </c>
      <c r="AV172" s="8" t="n">
        <v>2</v>
      </c>
      <c r="AW172" s="8" t="n">
        <v>0</v>
      </c>
      <c r="AX172" s="8" t="n">
        <v>1</v>
      </c>
      <c r="AY172" s="8" t="n">
        <v>2</v>
      </c>
      <c r="AZ172" s="8" t="n">
        <v>2</v>
      </c>
      <c r="BA172" s="8" t="n">
        <v>2</v>
      </c>
      <c r="BB172" s="8" t="n">
        <v>2</v>
      </c>
      <c r="BC172" s="8" t="n">
        <v>3</v>
      </c>
      <c r="BD172" s="8" t="n">
        <v>0</v>
      </c>
      <c r="BE172" s="8" t="n">
        <v>0</v>
      </c>
      <c r="BF172" s="8" t="n">
        <v>3</v>
      </c>
      <c r="BG172" s="8" t="n">
        <v>0</v>
      </c>
      <c r="BH172" s="8" t="n">
        <v>1</v>
      </c>
      <c r="BI172" s="8" t="n">
        <v>4</v>
      </c>
      <c r="BJ172" s="9" t="n">
        <v>9</v>
      </c>
      <c r="BK172" s="9" t="n">
        <v>4</v>
      </c>
      <c r="BL172" s="9" t="n">
        <v>1</v>
      </c>
      <c r="BM172" s="9" t="n">
        <v>4</v>
      </c>
      <c r="BN172" s="10" t="n">
        <v>0</v>
      </c>
      <c r="BO172" s="10" t="n">
        <v>0.6</v>
      </c>
      <c r="BP172" s="10" t="n">
        <f aca="false">IF(AND(ISNUMBER(BN172),ISNUMBER(BO172)),BN172+BO172,"")</f>
        <v>0.6</v>
      </c>
      <c r="BQ172" s="10" t="n">
        <v>0.3</v>
      </c>
      <c r="BR172" s="10" t="n">
        <v>0</v>
      </c>
      <c r="BS172" s="10" t="n">
        <v>0.1</v>
      </c>
    </row>
    <row r="173" customFormat="false" ht="15" hidden="false" customHeight="false" outlineLevel="0" collapsed="false">
      <c r="A173" s="8" t="s">
        <v>88</v>
      </c>
      <c r="B173" s="8" t="s">
        <v>122</v>
      </c>
      <c r="C173" s="8" t="n">
        <v>5</v>
      </c>
      <c r="D173" s="9" t="n">
        <v>57</v>
      </c>
      <c r="E173" s="9" t="n">
        <v>39</v>
      </c>
      <c r="F173" s="8" t="s">
        <v>76</v>
      </c>
      <c r="G173" s="8" t="s">
        <v>77</v>
      </c>
      <c r="H173" s="10" t="n">
        <v>0.1</v>
      </c>
      <c r="I173" s="10" t="n">
        <v>0.05</v>
      </c>
      <c r="J173" s="10" t="n">
        <v>0.15</v>
      </c>
      <c r="K173" s="8" t="n">
        <v>1</v>
      </c>
      <c r="L173" s="8" t="n">
        <v>2</v>
      </c>
      <c r="M173" s="10" t="n">
        <v>0.001</v>
      </c>
      <c r="N173" s="8" t="n">
        <v>0</v>
      </c>
      <c r="O173" s="9" t="n">
        <v>8</v>
      </c>
      <c r="P173" s="10" t="n">
        <f aca="false">IF(AND(ISNUMBER(O173),ISNUMBER(D173),D173&gt;0),O173/D173,"")</f>
        <v>0.140350877192982</v>
      </c>
      <c r="Q173" s="9" t="n">
        <v>6</v>
      </c>
      <c r="R173" s="9" t="n">
        <v>6</v>
      </c>
      <c r="S173" s="9" t="n">
        <v>50</v>
      </c>
      <c r="T173" s="11" t="n">
        <f aca="false">IF(AND(ISNUMBER(S173),ISNUMBER(D173),D173&gt;0),S173/D173,"")</f>
        <v>0.87719298245614</v>
      </c>
      <c r="U173" s="10" t="n">
        <v>0.15</v>
      </c>
      <c r="V173" s="10" t="n">
        <v>0.1</v>
      </c>
      <c r="W173" s="10" t="n">
        <v>0.1</v>
      </c>
      <c r="X173" s="10" t="n">
        <v>0.1</v>
      </c>
      <c r="Y173" s="8" t="n">
        <v>0</v>
      </c>
      <c r="Z173" s="8" t="s">
        <v>77</v>
      </c>
      <c r="AA173" s="8" t="n">
        <v>0</v>
      </c>
      <c r="AB173" s="8" t="n">
        <v>0</v>
      </c>
      <c r="AC173" s="11" t="n">
        <f aca="false">IF(AND(ISNUMBER(AA173),ISNUMBER(D173),D173&gt;0),AA173/D173*100,"")</f>
        <v>0</v>
      </c>
      <c r="AD173" s="12"/>
      <c r="AE173" s="8" t="s">
        <v>74</v>
      </c>
      <c r="AF173" s="8" t="s">
        <v>74</v>
      </c>
      <c r="AG173" s="12" t="n">
        <v>280</v>
      </c>
      <c r="AH173" s="12" t="n">
        <v>300</v>
      </c>
      <c r="AI173" s="12" t="n">
        <v>325</v>
      </c>
      <c r="AJ173" s="12" t="n">
        <v>370</v>
      </c>
      <c r="AK173" s="8" t="n">
        <v>15</v>
      </c>
      <c r="AL173" s="10" t="n">
        <v>0.25</v>
      </c>
      <c r="AM173" s="8" t="s">
        <v>77</v>
      </c>
      <c r="AN173" s="12"/>
      <c r="AO173" s="8" t="s">
        <v>77</v>
      </c>
      <c r="AP173" s="8"/>
      <c r="AQ173" s="10"/>
      <c r="AR173" s="8" t="n">
        <v>4</v>
      </c>
      <c r="AS173" s="8" t="n">
        <v>3</v>
      </c>
      <c r="AT173" s="8" t="n">
        <v>3</v>
      </c>
      <c r="AU173" s="8" t="n">
        <v>4</v>
      </c>
      <c r="AV173" s="8" t="n">
        <v>2</v>
      </c>
      <c r="AW173" s="8" t="n">
        <v>0</v>
      </c>
      <c r="AX173" s="8" t="n">
        <v>0</v>
      </c>
      <c r="AY173" s="8" t="n">
        <v>3</v>
      </c>
      <c r="AZ173" s="8" t="n">
        <v>3</v>
      </c>
      <c r="BA173" s="8" t="n">
        <v>3</v>
      </c>
      <c r="BB173" s="8" t="n">
        <v>2</v>
      </c>
      <c r="BC173" s="8" t="n">
        <v>2</v>
      </c>
      <c r="BD173" s="8" t="n">
        <v>0</v>
      </c>
      <c r="BE173" s="8" t="n">
        <v>2</v>
      </c>
      <c r="BF173" s="8" t="n">
        <v>0</v>
      </c>
      <c r="BG173" s="8" t="n">
        <v>0</v>
      </c>
      <c r="BH173" s="8" t="n">
        <v>0</v>
      </c>
      <c r="BI173" s="8" t="n">
        <v>2</v>
      </c>
      <c r="BJ173" s="9" t="n">
        <v>8</v>
      </c>
      <c r="BK173" s="9"/>
      <c r="BL173" s="9"/>
      <c r="BM173" s="9"/>
      <c r="BN173" s="10" t="n">
        <v>0</v>
      </c>
      <c r="BO173" s="10" t="n">
        <v>0</v>
      </c>
      <c r="BP173" s="10" t="n">
        <f aca="false">IF(AND(ISNUMBER(BN173),ISNUMBER(BO173)),BN173+BO173,"")</f>
        <v>0</v>
      </c>
      <c r="BQ173" s="10" t="n">
        <v>0.9</v>
      </c>
      <c r="BR173" s="10" t="n">
        <v>0.1</v>
      </c>
      <c r="BS173" s="10" t="n">
        <v>0</v>
      </c>
    </row>
    <row r="174" customFormat="false" ht="15" hidden="false" customHeight="false" outlineLevel="0" collapsed="false">
      <c r="A174" s="8" t="s">
        <v>89</v>
      </c>
      <c r="B174" s="8" t="s">
        <v>122</v>
      </c>
      <c r="C174" s="8" t="n">
        <v>5</v>
      </c>
      <c r="D174" s="9" t="n">
        <v>614</v>
      </c>
      <c r="E174" s="9" t="n">
        <v>183</v>
      </c>
      <c r="F174" s="8" t="s">
        <v>81</v>
      </c>
      <c r="G174" s="8" t="s">
        <v>74</v>
      </c>
      <c r="H174" s="10" t="n">
        <v>0.5</v>
      </c>
      <c r="I174" s="10" t="n">
        <v>0.022</v>
      </c>
      <c r="J174" s="10" t="n">
        <v>0.008</v>
      </c>
      <c r="K174" s="8" t="n">
        <v>0</v>
      </c>
      <c r="L174" s="8" t="n">
        <v>30</v>
      </c>
      <c r="M174" s="10" t="n">
        <v>0.007</v>
      </c>
      <c r="N174" s="8" t="n">
        <v>0</v>
      </c>
      <c r="O174" s="9" t="n">
        <v>48</v>
      </c>
      <c r="P174" s="10" t="n">
        <f aca="false">IF(AND(ISNUMBER(O174),ISNUMBER(D174),D174&gt;0),O174/D174,"")</f>
        <v>0.0781758957654723</v>
      </c>
      <c r="Q174" s="9" t="n">
        <v>16</v>
      </c>
      <c r="R174" s="9" t="n">
        <v>16</v>
      </c>
      <c r="S174" s="9" t="n">
        <v>231</v>
      </c>
      <c r="T174" s="11" t="n">
        <f aca="false">IF(AND(ISNUMBER(S174),ISNUMBER(D174),D174&gt;0),S174/D174,"")</f>
        <v>0.376221498371336</v>
      </c>
      <c r="U174" s="10" t="n">
        <v>0.042</v>
      </c>
      <c r="V174" s="10" t="n">
        <v>0.105</v>
      </c>
      <c r="W174" s="10" t="n">
        <v>0.06</v>
      </c>
      <c r="X174" s="10" t="n">
        <v>0.1</v>
      </c>
      <c r="Y174" s="8" t="n">
        <v>0</v>
      </c>
      <c r="Z174" s="8" t="s">
        <v>74</v>
      </c>
      <c r="AA174" s="8" t="n">
        <v>12</v>
      </c>
      <c r="AB174" s="8" t="n">
        <v>0</v>
      </c>
      <c r="AC174" s="11" t="n">
        <f aca="false">IF(AND(ISNUMBER(AA174),ISNUMBER(D174),D174&gt;0),AA174/D174*100,"")</f>
        <v>1.95439739413681</v>
      </c>
      <c r="AD174" s="12" t="n">
        <v>1102</v>
      </c>
      <c r="AE174" s="8" t="s">
        <v>74</v>
      </c>
      <c r="AF174" s="8" t="s">
        <v>74</v>
      </c>
      <c r="AG174" s="12" t="n">
        <v>356.18</v>
      </c>
      <c r="AH174" s="12" t="n">
        <v>391.79</v>
      </c>
      <c r="AI174" s="12" t="n">
        <v>463.03</v>
      </c>
      <c r="AJ174" s="12" t="n">
        <v>569.88</v>
      </c>
      <c r="AK174" s="8" t="n">
        <v>16</v>
      </c>
      <c r="AL174" s="10" t="n">
        <v>0.5</v>
      </c>
      <c r="AM174" s="8" t="s">
        <v>77</v>
      </c>
      <c r="AN174" s="12"/>
      <c r="AO174" s="8" t="s">
        <v>74</v>
      </c>
      <c r="AP174" s="8" t="s">
        <v>74</v>
      </c>
      <c r="AQ174" s="10" t="n">
        <v>0.7</v>
      </c>
      <c r="AR174" s="8" t="n">
        <v>4</v>
      </c>
      <c r="AS174" s="8" t="n">
        <v>4</v>
      </c>
      <c r="AT174" s="8" t="n">
        <v>2</v>
      </c>
      <c r="AU174" s="8" t="n">
        <v>3</v>
      </c>
      <c r="AV174" s="8" t="n">
        <v>1</v>
      </c>
      <c r="AW174" s="8" t="n">
        <v>2</v>
      </c>
      <c r="AX174" s="8" t="n">
        <v>1</v>
      </c>
      <c r="AY174" s="8" t="n">
        <v>1</v>
      </c>
      <c r="AZ174" s="8" t="n">
        <v>3</v>
      </c>
      <c r="BA174" s="8" t="n">
        <v>3</v>
      </c>
      <c r="BB174" s="8" t="n">
        <v>2</v>
      </c>
      <c r="BC174" s="8" t="n">
        <v>2</v>
      </c>
      <c r="BD174" s="8" t="n">
        <v>0</v>
      </c>
      <c r="BE174" s="8" t="n">
        <v>0</v>
      </c>
      <c r="BF174" s="8" t="n">
        <v>0</v>
      </c>
      <c r="BG174" s="8" t="n">
        <v>0</v>
      </c>
      <c r="BH174" s="8" t="n">
        <v>2</v>
      </c>
      <c r="BI174" s="8" t="n">
        <v>2</v>
      </c>
      <c r="BJ174" s="9" t="n">
        <v>2</v>
      </c>
      <c r="BK174" s="9" t="n">
        <v>3</v>
      </c>
      <c r="BL174" s="9" t="n">
        <v>1</v>
      </c>
      <c r="BM174" s="9" t="n">
        <v>8</v>
      </c>
      <c r="BN174" s="10" t="n">
        <v>0.2</v>
      </c>
      <c r="BO174" s="10" t="n">
        <v>0.2</v>
      </c>
      <c r="BP174" s="10" t="n">
        <f aca="false">IF(AND(ISNUMBER(BN174),ISNUMBER(BO174)),BN174+BO174,"")</f>
        <v>0.4</v>
      </c>
      <c r="BQ174" s="10" t="n">
        <v>0.3</v>
      </c>
      <c r="BR174" s="10" t="n">
        <v>0.2</v>
      </c>
      <c r="BS174" s="10" t="n">
        <v>0.1</v>
      </c>
    </row>
    <row r="175" customFormat="false" ht="15" hidden="false" customHeight="false" outlineLevel="0" collapsed="false">
      <c r="A175" s="8" t="s">
        <v>90</v>
      </c>
      <c r="B175" s="8" t="s">
        <v>122</v>
      </c>
      <c r="C175" s="8" t="n">
        <v>5</v>
      </c>
      <c r="D175" s="9" t="n">
        <v>235</v>
      </c>
      <c r="E175" s="9" t="n">
        <v>119</v>
      </c>
      <c r="F175" s="8" t="s">
        <v>81</v>
      </c>
      <c r="G175" s="8" t="s">
        <v>74</v>
      </c>
      <c r="H175" s="10" t="n">
        <v>0</v>
      </c>
      <c r="I175" s="10" t="n">
        <v>0.026</v>
      </c>
      <c r="J175" s="10" t="n">
        <v>0.015</v>
      </c>
      <c r="K175" s="8" t="n">
        <v>0</v>
      </c>
      <c r="L175" s="8" t="n">
        <v>15</v>
      </c>
      <c r="M175" s="10" t="n">
        <v>0.003</v>
      </c>
      <c r="N175" s="8" t="n">
        <v>0</v>
      </c>
      <c r="O175" s="9" t="n">
        <v>23</v>
      </c>
      <c r="P175" s="10" t="n">
        <f aca="false">IF(AND(ISNUMBER(O175),ISNUMBER(D175),D175&gt;0),O175/D175,"")</f>
        <v>0.0978723404255319</v>
      </c>
      <c r="Q175" s="9" t="n">
        <v>35</v>
      </c>
      <c r="R175" s="9" t="n">
        <v>15</v>
      </c>
      <c r="S175" s="9" t="n">
        <v>125</v>
      </c>
      <c r="T175" s="11" t="n">
        <f aca="false">IF(AND(ISNUMBER(S175),ISNUMBER(D175),D175&gt;0),S175/D175,"")</f>
        <v>0.531914893617021</v>
      </c>
      <c r="U175" s="10" t="n">
        <v>0.07</v>
      </c>
      <c r="V175" s="10" t="n">
        <v>0.12</v>
      </c>
      <c r="W175" s="10" t="n">
        <v>0.07</v>
      </c>
      <c r="X175" s="10" t="n">
        <v>0.13</v>
      </c>
      <c r="Y175" s="8" t="n">
        <v>0</v>
      </c>
      <c r="Z175" s="8" t="s">
        <v>74</v>
      </c>
      <c r="AA175" s="8" t="n">
        <v>18</v>
      </c>
      <c r="AB175" s="8" t="n">
        <v>0</v>
      </c>
      <c r="AC175" s="11" t="n">
        <f aca="false">IF(AND(ISNUMBER(AA175),ISNUMBER(D175),D175&gt;0),AA175/D175*100,"")</f>
        <v>7.65957446808511</v>
      </c>
      <c r="AD175" s="12" t="n">
        <v>3130</v>
      </c>
      <c r="AE175" s="8" t="s">
        <v>74</v>
      </c>
      <c r="AF175" s="8" t="s">
        <v>77</v>
      </c>
      <c r="AG175" s="12" t="n">
        <v>300</v>
      </c>
      <c r="AH175" s="12" t="n">
        <v>350</v>
      </c>
      <c r="AI175" s="12" t="n">
        <v>410</v>
      </c>
      <c r="AJ175" s="12" t="n">
        <v>442</v>
      </c>
      <c r="AK175" s="8" t="n">
        <v>21</v>
      </c>
      <c r="AL175" s="10" t="n">
        <v>0.45</v>
      </c>
      <c r="AM175" s="8" t="s">
        <v>74</v>
      </c>
      <c r="AN175" s="12" t="n">
        <v>41</v>
      </c>
      <c r="AO175" s="8" t="s">
        <v>74</v>
      </c>
      <c r="AP175" s="8" t="s">
        <v>74</v>
      </c>
      <c r="AQ175" s="10" t="n">
        <v>0.95</v>
      </c>
      <c r="AR175" s="8" t="n">
        <v>3</v>
      </c>
      <c r="AS175" s="8" t="n">
        <v>3</v>
      </c>
      <c r="AT175" s="8" t="n">
        <v>1</v>
      </c>
      <c r="AU175" s="8" t="n">
        <v>1</v>
      </c>
      <c r="AV175" s="8" t="n">
        <v>2</v>
      </c>
      <c r="AW175" s="8" t="n">
        <v>1</v>
      </c>
      <c r="AX175" s="8" t="n">
        <v>2</v>
      </c>
      <c r="AY175" s="8" t="n">
        <v>1</v>
      </c>
      <c r="AZ175" s="8" t="n">
        <v>1</v>
      </c>
      <c r="BA175" s="8" t="n">
        <v>1</v>
      </c>
      <c r="BB175" s="8" t="n">
        <v>2</v>
      </c>
      <c r="BC175" s="8" t="n">
        <v>3</v>
      </c>
      <c r="BD175" s="8" t="n">
        <v>0</v>
      </c>
      <c r="BE175" s="8" t="n">
        <v>0</v>
      </c>
      <c r="BF175" s="8" t="n">
        <v>1</v>
      </c>
      <c r="BG175" s="8" t="n">
        <v>1</v>
      </c>
      <c r="BH175" s="8" t="n">
        <v>2</v>
      </c>
      <c r="BI175" s="8" t="n">
        <v>4</v>
      </c>
      <c r="BJ175" s="9" t="n">
        <v>11</v>
      </c>
      <c r="BK175" s="9" t="n">
        <v>8</v>
      </c>
      <c r="BL175" s="9" t="n">
        <v>5</v>
      </c>
      <c r="BM175" s="9" t="n">
        <v>6</v>
      </c>
      <c r="BN175" s="10" t="n">
        <v>0.1</v>
      </c>
      <c r="BO175" s="10" t="n">
        <v>0.2</v>
      </c>
      <c r="BP175" s="10" t="n">
        <f aca="false">IF(AND(ISNUMBER(BN175),ISNUMBER(BO175)),BN175+BO175,"")</f>
        <v>0.3</v>
      </c>
      <c r="BQ175" s="10" t="n">
        <v>0.5</v>
      </c>
      <c r="BR175" s="10" t="n">
        <v>0.2</v>
      </c>
      <c r="BS175" s="10" t="n">
        <v>0</v>
      </c>
    </row>
    <row r="176" customFormat="false" ht="15" hidden="false" customHeight="false" outlineLevel="0" collapsed="false">
      <c r="A176" s="8" t="s">
        <v>91</v>
      </c>
      <c r="B176" s="8" t="s">
        <v>122</v>
      </c>
      <c r="C176" s="8" t="n">
        <v>5</v>
      </c>
      <c r="D176" s="9" t="n">
        <v>2579</v>
      </c>
      <c r="E176" s="9" t="n">
        <v>2206</v>
      </c>
      <c r="F176" s="8" t="s">
        <v>92</v>
      </c>
      <c r="G176" s="8" t="s">
        <v>74</v>
      </c>
      <c r="H176" s="10" t="n">
        <v>0.1</v>
      </c>
      <c r="I176" s="10" t="n">
        <v>0.094</v>
      </c>
      <c r="J176" s="10" t="n">
        <v>0.15</v>
      </c>
      <c r="K176" s="8" t="n">
        <v>1</v>
      </c>
      <c r="L176" s="8" t="n">
        <v>3</v>
      </c>
      <c r="M176" s="10" t="n">
        <v>0.006</v>
      </c>
      <c r="N176" s="8" t="n">
        <v>0</v>
      </c>
      <c r="O176" s="9" t="n">
        <v>415</v>
      </c>
      <c r="P176" s="10" t="n">
        <f aca="false">IF(AND(ISNUMBER(O176),ISNUMBER(D176),D176&gt;0),O176/D176,"")</f>
        <v>0.160915083365646</v>
      </c>
      <c r="Q176" s="9" t="n">
        <v>395</v>
      </c>
      <c r="R176" s="9" t="n">
        <v>380</v>
      </c>
      <c r="S176" s="9" t="n">
        <v>2300</v>
      </c>
      <c r="T176" s="11" t="n">
        <f aca="false">IF(AND(ISNUMBER(S176),ISNUMBER(D176),D176&gt;0),S176/D176,"")</f>
        <v>0.891818534315626</v>
      </c>
      <c r="U176" s="10" t="n">
        <v>0.082</v>
      </c>
      <c r="V176" s="10" t="n">
        <v>0.045</v>
      </c>
      <c r="W176" s="10" t="n">
        <v>0.13</v>
      </c>
      <c r="X176" s="10" t="n">
        <v>0.04</v>
      </c>
      <c r="Y176" s="8" t="n">
        <v>0</v>
      </c>
      <c r="Z176" s="8" t="s">
        <v>74</v>
      </c>
      <c r="AA176" s="8" t="n">
        <v>8</v>
      </c>
      <c r="AB176" s="8" t="n">
        <v>0</v>
      </c>
      <c r="AC176" s="11" t="n">
        <f aca="false">IF(AND(ISNUMBER(AA176),ISNUMBER(D176),D176&gt;0),AA176/D176*100,"")</f>
        <v>0.310197751066305</v>
      </c>
      <c r="AD176" s="12" t="n">
        <v>721</v>
      </c>
      <c r="AE176" s="8" t="s">
        <v>77</v>
      </c>
      <c r="AF176" s="8" t="s">
        <v>74</v>
      </c>
      <c r="AG176" s="12" t="n">
        <v>331.53</v>
      </c>
      <c r="AH176" s="12" t="n">
        <v>438.69</v>
      </c>
      <c r="AI176" s="12" t="n">
        <v>447.99</v>
      </c>
      <c r="AJ176" s="12" t="n">
        <v>807.27</v>
      </c>
      <c r="AK176" s="8" t="n">
        <v>30</v>
      </c>
      <c r="AL176" s="10" t="n">
        <v>0.6</v>
      </c>
      <c r="AM176" s="8" t="s">
        <v>74</v>
      </c>
      <c r="AN176" s="12" t="n">
        <v>25</v>
      </c>
      <c r="AO176" s="8" t="s">
        <v>74</v>
      </c>
      <c r="AP176" s="8" t="s">
        <v>74</v>
      </c>
      <c r="AQ176" s="10" t="n">
        <v>1</v>
      </c>
      <c r="AR176" s="8" t="n">
        <v>4</v>
      </c>
      <c r="AS176" s="8" t="n">
        <v>2</v>
      </c>
      <c r="AT176" s="8" t="n">
        <v>2</v>
      </c>
      <c r="AU176" s="8" t="n">
        <v>3</v>
      </c>
      <c r="AV176" s="8" t="n">
        <v>3</v>
      </c>
      <c r="AW176" s="8" t="n">
        <v>1</v>
      </c>
      <c r="AX176" s="8" t="n">
        <v>2</v>
      </c>
      <c r="AY176" s="8" t="n">
        <v>2</v>
      </c>
      <c r="AZ176" s="8" t="n">
        <v>1</v>
      </c>
      <c r="BA176" s="8" t="n">
        <v>1</v>
      </c>
      <c r="BB176" s="8" t="n">
        <v>2</v>
      </c>
      <c r="BC176" s="8" t="n">
        <v>1</v>
      </c>
      <c r="BD176" s="8" t="n">
        <v>1</v>
      </c>
      <c r="BE176" s="8" t="n">
        <v>1</v>
      </c>
      <c r="BF176" s="8" t="n">
        <v>1</v>
      </c>
      <c r="BG176" s="8" t="n">
        <v>0</v>
      </c>
      <c r="BH176" s="8" t="n">
        <v>2</v>
      </c>
      <c r="BI176" s="8" t="n">
        <v>1</v>
      </c>
      <c r="BJ176" s="9" t="n">
        <v>189</v>
      </c>
      <c r="BK176" s="9" t="n">
        <v>197</v>
      </c>
      <c r="BL176" s="9" t="n">
        <v>31</v>
      </c>
      <c r="BM176" s="9" t="n">
        <v>40</v>
      </c>
      <c r="BN176" s="10" t="n">
        <v>0.3</v>
      </c>
      <c r="BO176" s="10" t="n">
        <v>0.2</v>
      </c>
      <c r="BP176" s="10" t="n">
        <f aca="false">IF(AND(ISNUMBER(BN176),ISNUMBER(BO176)),BN176+BO176,"")</f>
        <v>0.5</v>
      </c>
      <c r="BQ176" s="10" t="n">
        <v>0.2</v>
      </c>
      <c r="BR176" s="10" t="n">
        <v>0.1</v>
      </c>
      <c r="BS176" s="10" t="n">
        <v>0.1</v>
      </c>
    </row>
    <row r="177" customFormat="false" ht="15" hidden="false" customHeight="false" outlineLevel="0" collapsed="false">
      <c r="A177" s="8" t="s">
        <v>93</v>
      </c>
      <c r="B177" s="8" t="s">
        <v>122</v>
      </c>
      <c r="C177" s="8" t="n">
        <v>5</v>
      </c>
      <c r="D177" s="9" t="n">
        <v>134</v>
      </c>
      <c r="E177" s="9" t="n">
        <v>91</v>
      </c>
      <c r="F177" s="8" t="s">
        <v>94</v>
      </c>
      <c r="G177" s="8" t="s">
        <v>74</v>
      </c>
      <c r="H177" s="10" t="n">
        <v>0.9</v>
      </c>
      <c r="I177" s="10" t="n">
        <v>0.15</v>
      </c>
      <c r="J177" s="10" t="n">
        <v>0.01</v>
      </c>
      <c r="K177" s="8" t="n">
        <v>0</v>
      </c>
      <c r="L177" s="8" t="n">
        <v>20</v>
      </c>
      <c r="M177" s="10" t="n">
        <v>0.01</v>
      </c>
      <c r="N177" s="8" t="n">
        <v>0</v>
      </c>
      <c r="O177" s="9" t="n">
        <v>21</v>
      </c>
      <c r="P177" s="10" t="n">
        <f aca="false">IF(AND(ISNUMBER(O177),ISNUMBER(D177),D177&gt;0),O177/D177,"")</f>
        <v>0.156716417910448</v>
      </c>
      <c r="Q177" s="9"/>
      <c r="R177" s="9" t="n">
        <v>60</v>
      </c>
      <c r="S177" s="9" t="n">
        <v>88</v>
      </c>
      <c r="T177" s="11" t="n">
        <f aca="false">IF(AND(ISNUMBER(S177),ISNUMBER(D177),D177&gt;0),S177/D177,"")</f>
        <v>0.656716417910448</v>
      </c>
      <c r="U177" s="10" t="n">
        <v>0.15</v>
      </c>
      <c r="V177" s="10" t="n">
        <v>0.09</v>
      </c>
      <c r="W177" s="10" t="n">
        <v>0.065</v>
      </c>
      <c r="X177" s="10" t="n">
        <v>0.1</v>
      </c>
      <c r="Y177" s="8" t="n">
        <v>0</v>
      </c>
      <c r="Z177" s="8" t="s">
        <v>74</v>
      </c>
      <c r="AA177" s="8" t="n">
        <v>16</v>
      </c>
      <c r="AB177" s="8" t="n">
        <v>0</v>
      </c>
      <c r="AC177" s="11" t="n">
        <f aca="false">IF(AND(ISNUMBER(AA177),ISNUMBER(D177),D177&gt;0),AA177/D177*100,"")</f>
        <v>11.9402985074627</v>
      </c>
      <c r="AD177" s="12" t="n">
        <v>2824.5</v>
      </c>
      <c r="AE177" s="8" t="s">
        <v>77</v>
      </c>
      <c r="AF177" s="8" t="s">
        <v>74</v>
      </c>
      <c r="AG177" s="12" t="n">
        <v>286.22</v>
      </c>
      <c r="AH177" s="12" t="n">
        <v>341</v>
      </c>
      <c r="AI177" s="12" t="n">
        <v>388.41</v>
      </c>
      <c r="AJ177" s="12" t="n">
        <v>411.73</v>
      </c>
      <c r="AK177" s="8" t="n">
        <v>15</v>
      </c>
      <c r="AL177" s="10" t="n">
        <v>0.25</v>
      </c>
      <c r="AM177" s="8" t="s">
        <v>74</v>
      </c>
      <c r="AN177" s="12" t="n">
        <v>65</v>
      </c>
      <c r="AO177" s="8" t="s">
        <v>77</v>
      </c>
      <c r="AP177" s="8" t="s">
        <v>74</v>
      </c>
      <c r="AQ177" s="10" t="n">
        <v>0.85</v>
      </c>
      <c r="AR177" s="8" t="n">
        <v>4</v>
      </c>
      <c r="AS177" s="8" t="n">
        <v>4</v>
      </c>
      <c r="AT177" s="8" t="n">
        <v>1</v>
      </c>
      <c r="AU177" s="8" t="n">
        <v>1</v>
      </c>
      <c r="AV177" s="8" t="n">
        <v>2</v>
      </c>
      <c r="AW177" s="8" t="n">
        <v>0</v>
      </c>
      <c r="AX177" s="8" t="n">
        <v>2</v>
      </c>
      <c r="AY177" s="8" t="n">
        <v>1</v>
      </c>
      <c r="AZ177" s="8" t="n">
        <v>1</v>
      </c>
      <c r="BA177" s="8" t="n">
        <v>1</v>
      </c>
      <c r="BB177" s="8" t="n">
        <v>2</v>
      </c>
      <c r="BC177" s="8" t="n">
        <v>1</v>
      </c>
      <c r="BD177" s="8" t="n">
        <v>1</v>
      </c>
      <c r="BE177" s="8" t="n">
        <v>2</v>
      </c>
      <c r="BF177" s="8" t="n">
        <v>0</v>
      </c>
      <c r="BG177" s="8" t="n">
        <v>0</v>
      </c>
      <c r="BH177" s="8" t="n">
        <v>1</v>
      </c>
      <c r="BI177" s="8" t="n">
        <v>0</v>
      </c>
      <c r="BJ177" s="9" t="n">
        <v>8</v>
      </c>
      <c r="BK177" s="9" t="n">
        <v>10</v>
      </c>
      <c r="BL177" s="9" t="n">
        <v>4</v>
      </c>
      <c r="BM177" s="9" t="n">
        <v>2</v>
      </c>
      <c r="BN177" s="10" t="n">
        <v>0.6</v>
      </c>
      <c r="BO177" s="10" t="n">
        <v>0.2</v>
      </c>
      <c r="BP177" s="10" t="n">
        <f aca="false">IF(AND(ISNUMBER(BN177),ISNUMBER(BO177)),BN177+BO177,"")</f>
        <v>0.8</v>
      </c>
      <c r="BQ177" s="10" t="n">
        <v>0.1</v>
      </c>
      <c r="BR177" s="10" t="n">
        <v>0.1</v>
      </c>
      <c r="BS177" s="10" t="n">
        <v>0</v>
      </c>
    </row>
    <row r="178" customFormat="false" ht="15" hidden="false" customHeight="false" outlineLevel="0" collapsed="false">
      <c r="A178" s="8" t="s">
        <v>95</v>
      </c>
      <c r="B178" s="8" t="s">
        <v>122</v>
      </c>
      <c r="C178" s="8" t="n">
        <v>5</v>
      </c>
      <c r="D178" s="9" t="n">
        <v>19</v>
      </c>
      <c r="E178" s="9" t="n">
        <v>17</v>
      </c>
      <c r="F178" s="8" t="s">
        <v>81</v>
      </c>
      <c r="G178" s="8" t="s">
        <v>77</v>
      </c>
      <c r="H178" s="10" t="n">
        <v>0.1</v>
      </c>
      <c r="I178" s="10" t="n">
        <v>0.001</v>
      </c>
      <c r="J178" s="10" t="n">
        <v>0.001</v>
      </c>
      <c r="K178" s="8" t="n">
        <v>0</v>
      </c>
      <c r="L178" s="8" t="n">
        <v>5</v>
      </c>
      <c r="M178" s="10" t="n">
        <v>0.001</v>
      </c>
      <c r="N178" s="8" t="n">
        <v>0</v>
      </c>
      <c r="O178" s="9" t="n">
        <v>1</v>
      </c>
      <c r="P178" s="10" t="n">
        <f aca="false">IF(AND(ISNUMBER(O178),ISNUMBER(D178),D178&gt;0),O178/D178,"")</f>
        <v>0.0526315789473684</v>
      </c>
      <c r="Q178" s="9" t="n">
        <v>1</v>
      </c>
      <c r="R178" s="9" t="n">
        <v>0</v>
      </c>
      <c r="S178" s="9" t="n">
        <v>0</v>
      </c>
      <c r="T178" s="11" t="n">
        <f aca="false">IF(AND(ISNUMBER(S178),ISNUMBER(D178),D178&gt;0),S178/D178,"")</f>
        <v>0</v>
      </c>
      <c r="U178" s="10" t="n">
        <v>0.05</v>
      </c>
      <c r="V178" s="10" t="n">
        <v>0.1</v>
      </c>
      <c r="W178" s="10"/>
      <c r="X178" s="10" t="n">
        <v>0.1</v>
      </c>
      <c r="Y178" s="8" t="n">
        <v>0</v>
      </c>
      <c r="Z178" s="8" t="s">
        <v>77</v>
      </c>
      <c r="AA178" s="8" t="n">
        <v>0</v>
      </c>
      <c r="AB178" s="8" t="n">
        <v>0</v>
      </c>
      <c r="AC178" s="11" t="n">
        <f aca="false">IF(AND(ISNUMBER(AA178),ISNUMBER(D178),D178&gt;0),AA178/D178*100,"")</f>
        <v>0</v>
      </c>
      <c r="AD178" s="12"/>
      <c r="AE178" s="8" t="s">
        <v>74</v>
      </c>
      <c r="AF178" s="8" t="s">
        <v>77</v>
      </c>
      <c r="AG178" s="12" t="n">
        <v>285.71</v>
      </c>
      <c r="AH178" s="12" t="n">
        <v>385.71</v>
      </c>
      <c r="AI178" s="12" t="n">
        <v>457.14</v>
      </c>
      <c r="AJ178" s="12" t="n">
        <v>642.86</v>
      </c>
      <c r="AK178" s="8" t="n">
        <v>15</v>
      </c>
      <c r="AL178" s="10" t="n">
        <v>0.25</v>
      </c>
      <c r="AM178" s="8" t="s">
        <v>77</v>
      </c>
      <c r="AN178" s="12"/>
      <c r="AO178" s="8" t="s">
        <v>77</v>
      </c>
      <c r="AP178" s="8"/>
      <c r="AQ178" s="10"/>
      <c r="AR178" s="8" t="n">
        <v>3</v>
      </c>
      <c r="AS178" s="8" t="n">
        <v>2</v>
      </c>
      <c r="AT178" s="8" t="n">
        <v>0</v>
      </c>
      <c r="AU178" s="8" t="n">
        <v>1</v>
      </c>
      <c r="AV178" s="8" t="n">
        <v>0</v>
      </c>
      <c r="AW178" s="8" t="n">
        <v>0</v>
      </c>
      <c r="AX178" s="8" t="n">
        <v>0</v>
      </c>
      <c r="AY178" s="8" t="n">
        <v>1</v>
      </c>
      <c r="AZ178" s="8" t="n">
        <v>0</v>
      </c>
      <c r="BA178" s="8" t="n">
        <v>0</v>
      </c>
      <c r="BB178" s="8" t="n">
        <v>0</v>
      </c>
      <c r="BC178" s="8" t="n">
        <v>0</v>
      </c>
      <c r="BD178" s="8" t="n">
        <v>0</v>
      </c>
      <c r="BE178" s="8" t="n">
        <v>1</v>
      </c>
      <c r="BF178" s="8" t="n">
        <v>0</v>
      </c>
      <c r="BG178" s="8" t="n">
        <v>0</v>
      </c>
      <c r="BH178" s="8" t="n">
        <v>1</v>
      </c>
      <c r="BI178" s="8" t="n">
        <v>0</v>
      </c>
      <c r="BJ178" s="9"/>
      <c r="BK178" s="9" t="n">
        <v>0</v>
      </c>
      <c r="BL178" s="9" t="n">
        <v>1</v>
      </c>
      <c r="BM178" s="9"/>
      <c r="BN178" s="10" t="n">
        <v>0</v>
      </c>
      <c r="BO178" s="10" t="n">
        <v>0.3</v>
      </c>
      <c r="BP178" s="10" t="n">
        <f aca="false">IF(AND(ISNUMBER(BN178),ISNUMBER(BO178)),BN178+BO178,"")</f>
        <v>0.3</v>
      </c>
      <c r="BQ178" s="10" t="n">
        <v>0.7</v>
      </c>
      <c r="BR178" s="10" t="n">
        <v>0</v>
      </c>
      <c r="BS178" s="10" t="n">
        <v>0</v>
      </c>
    </row>
    <row r="179" customFormat="false" ht="15" hidden="false" customHeight="false" outlineLevel="0" collapsed="false">
      <c r="A179" s="8" t="s">
        <v>96</v>
      </c>
      <c r="B179" s="8" t="s">
        <v>122</v>
      </c>
      <c r="C179" s="8" t="n">
        <v>5</v>
      </c>
      <c r="D179" s="9" t="n">
        <v>532</v>
      </c>
      <c r="E179" s="9" t="n">
        <v>128</v>
      </c>
      <c r="F179" s="8" t="s">
        <v>76</v>
      </c>
      <c r="G179" s="8" t="s">
        <v>74</v>
      </c>
      <c r="H179" s="10" t="n">
        <v>0.2</v>
      </c>
      <c r="I179" s="10" t="n">
        <v>0.042</v>
      </c>
      <c r="J179" s="10" t="n">
        <v>0.014</v>
      </c>
      <c r="K179" s="8" t="n">
        <v>0</v>
      </c>
      <c r="L179" s="8" t="n">
        <v>7</v>
      </c>
      <c r="M179" s="10" t="n">
        <v>0.02</v>
      </c>
      <c r="N179" s="8" t="n">
        <v>0</v>
      </c>
      <c r="O179" s="9" t="n">
        <v>63</v>
      </c>
      <c r="P179" s="10" t="n">
        <f aca="false">IF(AND(ISNUMBER(O179),ISNUMBER(D179),D179&gt;0),O179/D179,"")</f>
        <v>0.118421052631579</v>
      </c>
      <c r="Q179" s="9" t="n">
        <v>10</v>
      </c>
      <c r="R179" s="9" t="n">
        <v>10</v>
      </c>
      <c r="S179" s="9" t="n">
        <v>312</v>
      </c>
      <c r="T179" s="11" t="n">
        <f aca="false">IF(AND(ISNUMBER(S179),ISNUMBER(D179),D179&gt;0),S179/D179,"")</f>
        <v>0.586466165413534</v>
      </c>
      <c r="U179" s="10" t="n">
        <v>0.08</v>
      </c>
      <c r="V179" s="10" t="n">
        <v>0.1</v>
      </c>
      <c r="W179" s="10" t="n">
        <v>0.05</v>
      </c>
      <c r="X179" s="10" t="n">
        <v>0.01</v>
      </c>
      <c r="Y179" s="8" t="n">
        <v>0</v>
      </c>
      <c r="Z179" s="8" t="s">
        <v>74</v>
      </c>
      <c r="AA179" s="8" t="n">
        <v>17</v>
      </c>
      <c r="AB179" s="8" t="n">
        <v>0</v>
      </c>
      <c r="AC179" s="11" t="n">
        <f aca="false">IF(AND(ISNUMBER(AA179),ISNUMBER(D179),D179&gt;0),AA179/D179*100,"")</f>
        <v>3.19548872180451</v>
      </c>
      <c r="AD179" s="12" t="n">
        <v>450</v>
      </c>
      <c r="AE179" s="8" t="s">
        <v>74</v>
      </c>
      <c r="AF179" s="8" t="s">
        <v>77</v>
      </c>
      <c r="AG179" s="12" t="n">
        <v>340.75</v>
      </c>
      <c r="AH179" s="12" t="n">
        <v>444.86</v>
      </c>
      <c r="AI179" s="12" t="n">
        <v>619.49</v>
      </c>
      <c r="AJ179" s="12" t="n">
        <v>684.19</v>
      </c>
      <c r="AK179" s="8" t="n">
        <v>19</v>
      </c>
      <c r="AL179" s="10" t="n">
        <v>0.55</v>
      </c>
      <c r="AM179" s="8" t="s">
        <v>74</v>
      </c>
      <c r="AN179" s="12" t="n">
        <v>50</v>
      </c>
      <c r="AO179" s="8" t="s">
        <v>77</v>
      </c>
      <c r="AP179" s="8" t="s">
        <v>74</v>
      </c>
      <c r="AQ179" s="10" t="n">
        <v>0.9</v>
      </c>
      <c r="AR179" s="8" t="n">
        <v>3</v>
      </c>
      <c r="AS179" s="8" t="n">
        <v>2</v>
      </c>
      <c r="AT179" s="8" t="n">
        <v>1</v>
      </c>
      <c r="AU179" s="8" t="n">
        <v>3</v>
      </c>
      <c r="AV179" s="8" t="n">
        <v>0</v>
      </c>
      <c r="AW179" s="8" t="n">
        <v>1</v>
      </c>
      <c r="AX179" s="8" t="n">
        <v>0</v>
      </c>
      <c r="AY179" s="8" t="n">
        <v>0</v>
      </c>
      <c r="AZ179" s="8" t="n">
        <v>2</v>
      </c>
      <c r="BA179" s="8" t="n">
        <v>0</v>
      </c>
      <c r="BB179" s="8" t="n">
        <v>2</v>
      </c>
      <c r="BC179" s="8" t="n">
        <v>3</v>
      </c>
      <c r="BD179" s="8" t="n">
        <v>2</v>
      </c>
      <c r="BE179" s="8" t="n">
        <v>1</v>
      </c>
      <c r="BF179" s="8" t="n">
        <v>1</v>
      </c>
      <c r="BG179" s="8" t="n">
        <v>0</v>
      </c>
      <c r="BH179" s="8" t="n">
        <v>3</v>
      </c>
      <c r="BI179" s="8" t="n">
        <v>3</v>
      </c>
      <c r="BJ179" s="9" t="n">
        <v>63</v>
      </c>
      <c r="BK179" s="9" t="n">
        <v>0</v>
      </c>
      <c r="BL179" s="9" t="n">
        <v>0</v>
      </c>
      <c r="BM179" s="9" t="n">
        <v>0</v>
      </c>
      <c r="BN179" s="10" t="n">
        <v>0.6</v>
      </c>
      <c r="BO179" s="10" t="n">
        <v>0.2</v>
      </c>
      <c r="BP179" s="10" t="n">
        <f aca="false">IF(AND(ISNUMBER(BN179),ISNUMBER(BO179)),BN179+BO179,"")</f>
        <v>0.8</v>
      </c>
      <c r="BQ179" s="10" t="n">
        <v>0.1</v>
      </c>
      <c r="BR179" s="10" t="n">
        <v>0.1</v>
      </c>
      <c r="BS179" s="10" t="n">
        <v>0</v>
      </c>
    </row>
    <row r="180" customFormat="false" ht="15" hidden="false" customHeight="false" outlineLevel="0" collapsed="false">
      <c r="A180" s="8" t="s">
        <v>97</v>
      </c>
      <c r="B180" s="8" t="s">
        <v>122</v>
      </c>
      <c r="C180" s="8" t="n">
        <v>5</v>
      </c>
      <c r="D180" s="9" t="n">
        <v>648</v>
      </c>
      <c r="E180" s="9" t="n">
        <v>478</v>
      </c>
      <c r="F180" s="8" t="s">
        <v>76</v>
      </c>
      <c r="G180" s="8" t="s">
        <v>74</v>
      </c>
      <c r="H180" s="10" t="n">
        <v>0</v>
      </c>
      <c r="I180" s="10" t="n">
        <v>0.006</v>
      </c>
      <c r="J180" s="10" t="n">
        <v>0.002</v>
      </c>
      <c r="K180" s="8" t="n">
        <v>0</v>
      </c>
      <c r="L180" s="8" t="n">
        <v>30</v>
      </c>
      <c r="M180" s="10"/>
      <c r="N180" s="8" t="n">
        <v>0</v>
      </c>
      <c r="O180" s="9" t="n">
        <v>7</v>
      </c>
      <c r="P180" s="10" t="n">
        <f aca="false">IF(AND(ISNUMBER(O180),ISNUMBER(D180),D180&gt;0),O180/D180,"")</f>
        <v>0.0108024691358025</v>
      </c>
      <c r="Q180" s="9" t="n">
        <v>59</v>
      </c>
      <c r="R180" s="9" t="n">
        <v>23</v>
      </c>
      <c r="S180" s="9" t="n">
        <v>279</v>
      </c>
      <c r="T180" s="11" t="n">
        <f aca="false">IF(AND(ISNUMBER(S180),ISNUMBER(D180),D180&gt;0),S180/D180,"")</f>
        <v>0.430555555555556</v>
      </c>
      <c r="U180" s="10" t="n">
        <v>0.05</v>
      </c>
      <c r="V180" s="10" t="n">
        <v>0.105</v>
      </c>
      <c r="W180" s="10" t="n">
        <v>0.13</v>
      </c>
      <c r="X180" s="10"/>
      <c r="Y180" s="8" t="n">
        <v>0</v>
      </c>
      <c r="Z180" s="8" t="s">
        <v>77</v>
      </c>
      <c r="AA180" s="8" t="n">
        <v>0</v>
      </c>
      <c r="AB180" s="8" t="n">
        <v>0</v>
      </c>
      <c r="AC180" s="11" t="n">
        <f aca="false">IF(AND(ISNUMBER(AA180),ISNUMBER(D180),D180&gt;0),AA180/D180*100,"")</f>
        <v>0</v>
      </c>
      <c r="AD180" s="12"/>
      <c r="AE180" s="8" t="s">
        <v>77</v>
      </c>
      <c r="AF180" s="8" t="s">
        <v>77</v>
      </c>
      <c r="AG180" s="12" t="n">
        <v>449.17</v>
      </c>
      <c r="AH180" s="12" t="n">
        <v>544.47</v>
      </c>
      <c r="AI180" s="12" t="n">
        <v>707.79</v>
      </c>
      <c r="AJ180" s="12" t="n">
        <v>884.7</v>
      </c>
      <c r="AK180" s="8" t="n">
        <v>25</v>
      </c>
      <c r="AL180" s="10" t="n">
        <v>0.7</v>
      </c>
      <c r="AM180" s="8" t="s">
        <v>74</v>
      </c>
      <c r="AN180" s="12" t="n">
        <v>47</v>
      </c>
      <c r="AO180" s="8" t="s">
        <v>77</v>
      </c>
      <c r="AP180" s="8" t="s">
        <v>74</v>
      </c>
      <c r="AQ180" s="10"/>
      <c r="AR180" s="8" t="n">
        <v>4</v>
      </c>
      <c r="AS180" s="8" t="n">
        <v>1</v>
      </c>
      <c r="AT180" s="8" t="n">
        <v>0</v>
      </c>
      <c r="AU180" s="8" t="n">
        <v>0</v>
      </c>
      <c r="AV180" s="8" t="n">
        <v>0</v>
      </c>
      <c r="AW180" s="8" t="n">
        <v>0</v>
      </c>
      <c r="AX180" s="8" t="n">
        <v>1</v>
      </c>
      <c r="AY180" s="8" t="n">
        <v>1</v>
      </c>
      <c r="AZ180" s="8" t="n">
        <v>2</v>
      </c>
      <c r="BA180" s="8" t="n">
        <v>1</v>
      </c>
      <c r="BB180" s="8" t="n">
        <v>0</v>
      </c>
      <c r="BC180" s="8" t="n">
        <v>0</v>
      </c>
      <c r="BD180" s="8" t="n">
        <v>0</v>
      </c>
      <c r="BE180" s="8" t="n">
        <v>0</v>
      </c>
      <c r="BF180" s="8" t="n">
        <v>0</v>
      </c>
      <c r="BG180" s="8" t="n">
        <v>0</v>
      </c>
      <c r="BH180" s="8" t="n">
        <v>0</v>
      </c>
      <c r="BI180" s="8" t="n">
        <v>2</v>
      </c>
      <c r="BJ180" s="9" t="n">
        <v>9</v>
      </c>
      <c r="BK180" s="9" t="n">
        <v>0</v>
      </c>
      <c r="BL180" s="9" t="n">
        <v>0</v>
      </c>
      <c r="BM180" s="9" t="n">
        <v>3</v>
      </c>
      <c r="BN180" s="10" t="n">
        <v>0</v>
      </c>
      <c r="BO180" s="10" t="n">
        <v>0</v>
      </c>
      <c r="BP180" s="10" t="n">
        <f aca="false">IF(AND(ISNUMBER(BN180),ISNUMBER(BO180)),BN180+BO180,"")</f>
        <v>0</v>
      </c>
      <c r="BQ180" s="10" t="n">
        <v>0.5</v>
      </c>
      <c r="BR180" s="10" t="n">
        <v>0.3</v>
      </c>
      <c r="BS180" s="10" t="n">
        <v>0.2</v>
      </c>
    </row>
    <row r="181" customFormat="false" ht="15" hidden="false" customHeight="false" outlineLevel="0" collapsed="false">
      <c r="A181" s="8" t="s">
        <v>98</v>
      </c>
      <c r="B181" s="8" t="s">
        <v>122</v>
      </c>
      <c r="C181" s="8" t="n">
        <v>5</v>
      </c>
      <c r="D181" s="9" t="n">
        <v>3252</v>
      </c>
      <c r="E181" s="9" t="n">
        <v>978</v>
      </c>
      <c r="F181" s="8" t="s">
        <v>73</v>
      </c>
      <c r="G181" s="8" t="s">
        <v>74</v>
      </c>
      <c r="H181" s="10" t="n">
        <v>0.3</v>
      </c>
      <c r="I181" s="10" t="n">
        <v>0.017</v>
      </c>
      <c r="J181" s="10" t="n">
        <v>0.007</v>
      </c>
      <c r="K181" s="8" t="n">
        <v>0</v>
      </c>
      <c r="L181" s="8"/>
      <c r="M181" s="10" t="n">
        <v>0.076</v>
      </c>
      <c r="N181" s="8" t="n">
        <v>0</v>
      </c>
      <c r="O181" s="9" t="n">
        <v>583</v>
      </c>
      <c r="P181" s="10" t="n">
        <f aca="false">IF(AND(ISNUMBER(O181),ISNUMBER(D181),D181&gt;0),O181/D181,"")</f>
        <v>0.179274292742927</v>
      </c>
      <c r="Q181" s="9"/>
      <c r="R181" s="9" t="n">
        <v>691</v>
      </c>
      <c r="S181" s="9" t="n">
        <v>1862</v>
      </c>
      <c r="T181" s="11" t="n">
        <f aca="false">IF(AND(ISNUMBER(S181),ISNUMBER(D181),D181&gt;0),S181/D181,"")</f>
        <v>0.572570725707257</v>
      </c>
      <c r="U181" s="10" t="n">
        <v>0.07</v>
      </c>
      <c r="V181" s="10" t="n">
        <v>0.08</v>
      </c>
      <c r="W181" s="10" t="n">
        <v>0.06</v>
      </c>
      <c r="X181" s="10"/>
      <c r="Y181" s="8" t="n">
        <v>0</v>
      </c>
      <c r="Z181" s="8" t="s">
        <v>74</v>
      </c>
      <c r="AA181" s="8" t="n">
        <v>41</v>
      </c>
      <c r="AB181" s="8" t="n">
        <v>1</v>
      </c>
      <c r="AC181" s="11" t="n">
        <f aca="false">IF(AND(ISNUMBER(AA181),ISNUMBER(D181),D181&gt;0),AA181/D181*100,"")</f>
        <v>1.26076260762608</v>
      </c>
      <c r="AD181" s="12" t="n">
        <v>1136</v>
      </c>
      <c r="AE181" s="8" t="s">
        <v>74</v>
      </c>
      <c r="AF181" s="8" t="s">
        <v>74</v>
      </c>
      <c r="AG181" s="12" t="n">
        <v>250</v>
      </c>
      <c r="AH181" s="12" t="n">
        <v>278.59</v>
      </c>
      <c r="AI181" s="12" t="n">
        <v>349.26</v>
      </c>
      <c r="AJ181" s="12" t="n">
        <v>407.89</v>
      </c>
      <c r="AK181" s="8" t="n">
        <v>18</v>
      </c>
      <c r="AL181" s="10" t="n">
        <v>0.6</v>
      </c>
      <c r="AM181" s="8" t="s">
        <v>74</v>
      </c>
      <c r="AN181" s="12" t="n">
        <v>29</v>
      </c>
      <c r="AO181" s="8" t="s">
        <v>77</v>
      </c>
      <c r="AP181" s="8" t="s">
        <v>74</v>
      </c>
      <c r="AQ181" s="10" t="n">
        <v>0.8</v>
      </c>
      <c r="AR181" s="8" t="n">
        <v>2</v>
      </c>
      <c r="AS181" s="8" t="n">
        <v>1</v>
      </c>
      <c r="AT181" s="8" t="n">
        <v>0</v>
      </c>
      <c r="AU181" s="8" t="n">
        <v>2</v>
      </c>
      <c r="AV181" s="8" t="n">
        <v>1</v>
      </c>
      <c r="AW181" s="8" t="n">
        <v>1</v>
      </c>
      <c r="AX181" s="8" t="n">
        <v>2</v>
      </c>
      <c r="AY181" s="8" t="n">
        <v>2</v>
      </c>
      <c r="AZ181" s="8" t="n">
        <v>2</v>
      </c>
      <c r="BA181" s="8" t="n">
        <v>0</v>
      </c>
      <c r="BB181" s="8" t="n">
        <v>3</v>
      </c>
      <c r="BC181" s="8" t="n">
        <v>3</v>
      </c>
      <c r="BD181" s="8" t="n">
        <v>2</v>
      </c>
      <c r="BE181" s="8" t="n">
        <v>1</v>
      </c>
      <c r="BF181" s="8" t="n">
        <v>1</v>
      </c>
      <c r="BG181" s="8" t="n">
        <v>0</v>
      </c>
      <c r="BH181" s="8" t="n">
        <v>4</v>
      </c>
      <c r="BI181" s="8" t="n">
        <v>4</v>
      </c>
      <c r="BJ181" s="9" t="n">
        <v>95</v>
      </c>
      <c r="BK181" s="9" t="n">
        <v>3</v>
      </c>
      <c r="BL181" s="9" t="n">
        <v>498</v>
      </c>
      <c r="BM181" s="9" t="n">
        <v>46</v>
      </c>
      <c r="BN181" s="10" t="n">
        <v>0.4</v>
      </c>
      <c r="BO181" s="10" t="n">
        <v>0.3</v>
      </c>
      <c r="BP181" s="10" t="n">
        <f aca="false">IF(AND(ISNUMBER(BN181),ISNUMBER(BO181)),BN181+BO181,"")</f>
        <v>0.7</v>
      </c>
      <c r="BQ181" s="10" t="n">
        <v>0.2</v>
      </c>
      <c r="BR181" s="10" t="n">
        <v>0.1</v>
      </c>
      <c r="BS181" s="10" t="n">
        <v>0</v>
      </c>
    </row>
    <row r="182" customFormat="false" ht="15" hidden="false" customHeight="false" outlineLevel="0" collapsed="false">
      <c r="A182" s="8" t="s">
        <v>99</v>
      </c>
      <c r="B182" s="8" t="s">
        <v>122</v>
      </c>
      <c r="C182" s="8" t="n">
        <v>5</v>
      </c>
      <c r="D182" s="9" t="n">
        <v>60</v>
      </c>
      <c r="E182" s="9" t="n">
        <v>86</v>
      </c>
      <c r="F182" s="8" t="s">
        <v>92</v>
      </c>
      <c r="G182" s="8" t="s">
        <v>74</v>
      </c>
      <c r="H182" s="10" t="n">
        <v>0</v>
      </c>
      <c r="I182" s="10" t="n">
        <v>0.007</v>
      </c>
      <c r="J182" s="10" t="n">
        <v>0.004</v>
      </c>
      <c r="K182" s="8" t="n">
        <v>0</v>
      </c>
      <c r="L182" s="8" t="n">
        <v>15</v>
      </c>
      <c r="M182" s="10" t="n">
        <v>0.007</v>
      </c>
      <c r="N182" s="8" t="n">
        <v>0</v>
      </c>
      <c r="O182" s="9" t="n">
        <v>3</v>
      </c>
      <c r="P182" s="10" t="n">
        <f aca="false">IF(AND(ISNUMBER(O182),ISNUMBER(D182),D182&gt;0),O182/D182,"")</f>
        <v>0.05</v>
      </c>
      <c r="Q182" s="9" t="n">
        <v>1</v>
      </c>
      <c r="R182" s="9" t="n">
        <v>1</v>
      </c>
      <c r="S182" s="9" t="n">
        <v>3</v>
      </c>
      <c r="T182" s="11" t="n">
        <f aca="false">IF(AND(ISNUMBER(S182),ISNUMBER(D182),D182&gt;0),S182/D182,"")</f>
        <v>0.05</v>
      </c>
      <c r="U182" s="10" t="n">
        <v>0.08</v>
      </c>
      <c r="V182" s="10" t="n">
        <v>0.13</v>
      </c>
      <c r="W182" s="10" t="n">
        <v>0.13</v>
      </c>
      <c r="X182" s="10" t="n">
        <v>0.01</v>
      </c>
      <c r="Y182" s="8" t="n">
        <v>0</v>
      </c>
      <c r="Z182" s="8" t="s">
        <v>77</v>
      </c>
      <c r="AA182" s="8" t="n">
        <v>0</v>
      </c>
      <c r="AB182" s="8" t="n">
        <v>0</v>
      </c>
      <c r="AC182" s="11" t="n">
        <f aca="false">IF(AND(ISNUMBER(AA182),ISNUMBER(D182),D182&gt;0),AA182/D182*100,"")</f>
        <v>0</v>
      </c>
      <c r="AD182" s="12"/>
      <c r="AE182" s="8" t="s">
        <v>74</v>
      </c>
      <c r="AF182" s="8" t="s">
        <v>77</v>
      </c>
      <c r="AG182" s="12" t="n">
        <v>325</v>
      </c>
      <c r="AH182" s="12" t="n">
        <v>411.78</v>
      </c>
      <c r="AI182" s="12" t="n">
        <v>481.33</v>
      </c>
      <c r="AJ182" s="12" t="n">
        <v>542</v>
      </c>
      <c r="AK182" s="8" t="n">
        <v>32</v>
      </c>
      <c r="AL182" s="10" t="n">
        <v>1.3</v>
      </c>
      <c r="AM182" s="8" t="s">
        <v>77</v>
      </c>
      <c r="AN182" s="12"/>
      <c r="AO182" s="8" t="s">
        <v>74</v>
      </c>
      <c r="AP182" s="8" t="s">
        <v>74</v>
      </c>
      <c r="AQ182" s="10"/>
      <c r="AR182" s="8" t="n">
        <v>3</v>
      </c>
      <c r="AS182" s="8" t="n">
        <v>0</v>
      </c>
      <c r="AT182" s="8" t="n">
        <v>3</v>
      </c>
      <c r="AU182" s="8" t="n">
        <v>3</v>
      </c>
      <c r="AV182" s="8" t="n">
        <v>4</v>
      </c>
      <c r="AW182" s="8" t="n">
        <v>5</v>
      </c>
      <c r="AX182" s="8" t="n">
        <v>1</v>
      </c>
      <c r="AY182" s="8" t="n">
        <v>2</v>
      </c>
      <c r="AZ182" s="8" t="n">
        <v>5</v>
      </c>
      <c r="BA182" s="8" t="n">
        <v>4</v>
      </c>
      <c r="BB182" s="8" t="n">
        <v>3</v>
      </c>
      <c r="BC182" s="8" t="n">
        <v>5</v>
      </c>
      <c r="BD182" s="8" t="n">
        <v>1</v>
      </c>
      <c r="BE182" s="8" t="n">
        <v>1</v>
      </c>
      <c r="BF182" s="8" t="n">
        <v>3</v>
      </c>
      <c r="BG182" s="8" t="n">
        <v>3</v>
      </c>
      <c r="BH182" s="8" t="n">
        <v>4</v>
      </c>
      <c r="BI182" s="8" t="n">
        <v>3</v>
      </c>
      <c r="BJ182" s="9" t="n">
        <v>1</v>
      </c>
      <c r="BK182" s="9" t="n">
        <v>0</v>
      </c>
      <c r="BL182" s="9" t="n">
        <v>0</v>
      </c>
      <c r="BM182" s="9" t="n">
        <v>2</v>
      </c>
      <c r="BN182" s="10" t="n">
        <v>0</v>
      </c>
      <c r="BO182" s="10" t="n">
        <v>0</v>
      </c>
      <c r="BP182" s="10" t="n">
        <f aca="false">IF(AND(ISNUMBER(BN182),ISNUMBER(BO182)),BN182+BO182,"")</f>
        <v>0</v>
      </c>
      <c r="BQ182" s="10" t="n">
        <v>0</v>
      </c>
      <c r="BR182" s="10" t="n">
        <v>1</v>
      </c>
      <c r="BS182" s="10" t="n">
        <v>0</v>
      </c>
    </row>
    <row r="183" customFormat="false" ht="15" hidden="false" customHeight="false" outlineLevel="0" collapsed="false">
      <c r="A183" s="8" t="s">
        <v>100</v>
      </c>
      <c r="B183" s="8" t="s">
        <v>122</v>
      </c>
      <c r="C183" s="8" t="n">
        <v>5</v>
      </c>
      <c r="D183" s="9" t="n">
        <v>604</v>
      </c>
      <c r="E183" s="9" t="n">
        <v>72</v>
      </c>
      <c r="F183" s="8" t="s">
        <v>81</v>
      </c>
      <c r="G183" s="8" t="s">
        <v>74</v>
      </c>
      <c r="H183" s="10" t="n">
        <v>0</v>
      </c>
      <c r="I183" s="10" t="n">
        <v>0.02</v>
      </c>
      <c r="J183" s="10" t="n">
        <v>0.005</v>
      </c>
      <c r="K183" s="8" t="n">
        <v>0</v>
      </c>
      <c r="L183" s="8" t="n">
        <v>5</v>
      </c>
      <c r="M183" s="10" t="n">
        <v>0.012</v>
      </c>
      <c r="N183" s="8" t="n">
        <v>0</v>
      </c>
      <c r="O183" s="9" t="n">
        <v>67</v>
      </c>
      <c r="P183" s="10" t="n">
        <f aca="false">IF(AND(ISNUMBER(O183),ISNUMBER(D183),D183&gt;0),O183/D183,"")</f>
        <v>0.110927152317881</v>
      </c>
      <c r="Q183" s="9" t="n">
        <v>108</v>
      </c>
      <c r="R183" s="9" t="n">
        <v>108</v>
      </c>
      <c r="S183" s="9" t="n">
        <v>318</v>
      </c>
      <c r="T183" s="11" t="n">
        <f aca="false">IF(AND(ISNUMBER(S183),ISNUMBER(D183),D183&gt;0),S183/D183,"")</f>
        <v>0.526490066225166</v>
      </c>
      <c r="U183" s="10" t="n">
        <v>0.07</v>
      </c>
      <c r="V183" s="10" t="n">
        <v>0.07</v>
      </c>
      <c r="W183" s="10" t="n">
        <v>0.07</v>
      </c>
      <c r="X183" s="10" t="n">
        <v>0.1</v>
      </c>
      <c r="Y183" s="8" t="n">
        <v>0</v>
      </c>
      <c r="Z183" s="8" t="s">
        <v>74</v>
      </c>
      <c r="AA183" s="8" t="n">
        <v>12</v>
      </c>
      <c r="AB183" s="8" t="n">
        <v>0</v>
      </c>
      <c r="AC183" s="11" t="n">
        <f aca="false">IF(AND(ISNUMBER(AA183),ISNUMBER(D183),D183&gt;0),AA183/D183*100,"")</f>
        <v>1.98675496688742</v>
      </c>
      <c r="AD183" s="12" t="n">
        <v>8000</v>
      </c>
      <c r="AE183" s="8" t="s">
        <v>74</v>
      </c>
      <c r="AF183" s="8" t="s">
        <v>77</v>
      </c>
      <c r="AG183" s="12" t="n">
        <v>345.89</v>
      </c>
      <c r="AH183" s="12" t="n">
        <v>416.64</v>
      </c>
      <c r="AI183" s="12" t="n">
        <v>463.81</v>
      </c>
      <c r="AJ183" s="12" t="n">
        <v>495.25</v>
      </c>
      <c r="AK183" s="8" t="n">
        <v>26</v>
      </c>
      <c r="AL183" s="10" t="n">
        <v>0.6</v>
      </c>
      <c r="AM183" s="8" t="s">
        <v>77</v>
      </c>
      <c r="AN183" s="12"/>
      <c r="AO183" s="8" t="s">
        <v>77</v>
      </c>
      <c r="AP183" s="8" t="s">
        <v>74</v>
      </c>
      <c r="AQ183" s="10" t="n">
        <v>0.9</v>
      </c>
      <c r="AR183" s="8" t="n">
        <v>4</v>
      </c>
      <c r="AS183" s="8" t="n">
        <v>2</v>
      </c>
      <c r="AT183" s="8" t="n">
        <v>1</v>
      </c>
      <c r="AU183" s="8" t="n">
        <v>4</v>
      </c>
      <c r="AV183" s="8" t="n">
        <v>1</v>
      </c>
      <c r="AW183" s="8" t="n">
        <v>1</v>
      </c>
      <c r="AX183" s="8" t="n">
        <v>1</v>
      </c>
      <c r="AY183" s="8" t="n">
        <v>2</v>
      </c>
      <c r="AZ183" s="8" t="n">
        <v>2</v>
      </c>
      <c r="BA183" s="8" t="n">
        <v>4</v>
      </c>
      <c r="BB183" s="8" t="n">
        <v>3</v>
      </c>
      <c r="BC183" s="8" t="n">
        <v>3</v>
      </c>
      <c r="BD183" s="8" t="n">
        <v>2</v>
      </c>
      <c r="BE183" s="8" t="n">
        <v>2</v>
      </c>
      <c r="BF183" s="8" t="n">
        <v>1</v>
      </c>
      <c r="BG183" s="8" t="n">
        <v>2</v>
      </c>
      <c r="BH183" s="8" t="n">
        <v>4</v>
      </c>
      <c r="BI183" s="8" t="n">
        <v>3</v>
      </c>
      <c r="BJ183" s="9" t="n">
        <v>20</v>
      </c>
      <c r="BK183" s="9" t="n">
        <v>0</v>
      </c>
      <c r="BL183" s="9" t="n">
        <v>24</v>
      </c>
      <c r="BM183" s="9" t="n">
        <v>31</v>
      </c>
      <c r="BN183" s="10" t="n">
        <v>0.7</v>
      </c>
      <c r="BO183" s="10" t="n">
        <v>0.1</v>
      </c>
      <c r="BP183" s="10" t="n">
        <f aca="false">IF(AND(ISNUMBER(BN183),ISNUMBER(BO183)),BN183+BO183,"")</f>
        <v>0.8</v>
      </c>
      <c r="BQ183" s="10" t="n">
        <v>0.2</v>
      </c>
      <c r="BR183" s="10" t="n">
        <v>0</v>
      </c>
      <c r="BS183" s="10" t="n">
        <v>0</v>
      </c>
    </row>
    <row r="184" customFormat="false" ht="15" hidden="false" customHeight="false" outlineLevel="0" collapsed="false">
      <c r="A184" s="8" t="s">
        <v>101</v>
      </c>
      <c r="B184" s="8" t="s">
        <v>122</v>
      </c>
      <c r="C184" s="8" t="n">
        <v>5</v>
      </c>
      <c r="D184" s="9" t="n">
        <v>328</v>
      </c>
      <c r="E184" s="9" t="n">
        <v>160</v>
      </c>
      <c r="F184" s="8" t="s">
        <v>92</v>
      </c>
      <c r="G184" s="8" t="s">
        <v>74</v>
      </c>
      <c r="H184" s="10"/>
      <c r="I184" s="10" t="n">
        <v>0.045</v>
      </c>
      <c r="J184" s="10" t="n">
        <v>0.009</v>
      </c>
      <c r="K184" s="8" t="n">
        <v>0</v>
      </c>
      <c r="L184" s="8" t="n">
        <v>7</v>
      </c>
      <c r="M184" s="10"/>
      <c r="N184" s="8" t="n">
        <v>0</v>
      </c>
      <c r="O184" s="9" t="n">
        <v>31</v>
      </c>
      <c r="P184" s="10" t="n">
        <f aca="false">IF(AND(ISNUMBER(O184),ISNUMBER(D184),D184&gt;0),O184/D184,"")</f>
        <v>0.0945121951219512</v>
      </c>
      <c r="Q184" s="9" t="n">
        <v>30</v>
      </c>
      <c r="R184" s="9" t="n">
        <v>30</v>
      </c>
      <c r="S184" s="9" t="n">
        <v>217</v>
      </c>
      <c r="T184" s="11" t="n">
        <f aca="false">IF(AND(ISNUMBER(S184),ISNUMBER(D184),D184&gt;0),S184/D184,"")</f>
        <v>0.661585365853659</v>
      </c>
      <c r="U184" s="10" t="n">
        <v>0.07</v>
      </c>
      <c r="V184" s="10" t="n">
        <v>0.07</v>
      </c>
      <c r="W184" s="10" t="n">
        <v>0.06</v>
      </c>
      <c r="X184" s="10" t="n">
        <v>0.12</v>
      </c>
      <c r="Y184" s="8" t="n">
        <v>0</v>
      </c>
      <c r="Z184" s="8" t="s">
        <v>74</v>
      </c>
      <c r="AA184" s="8" t="n">
        <v>27</v>
      </c>
      <c r="AB184" s="8" t="n">
        <v>0</v>
      </c>
      <c r="AC184" s="11" t="n">
        <f aca="false">IF(AND(ISNUMBER(AA184),ISNUMBER(D184),D184&gt;0),AA184/D184*100,"")</f>
        <v>8.23170731707317</v>
      </c>
      <c r="AD184" s="12" t="n">
        <v>2500</v>
      </c>
      <c r="AE184" s="8" t="s">
        <v>74</v>
      </c>
      <c r="AF184" s="8" t="s">
        <v>77</v>
      </c>
      <c r="AG184" s="12" t="n">
        <v>312.59</v>
      </c>
      <c r="AH184" s="12" t="n">
        <v>321.31</v>
      </c>
      <c r="AI184" s="12" t="n">
        <v>427.65</v>
      </c>
      <c r="AJ184" s="12" t="n">
        <v>427.65</v>
      </c>
      <c r="AK184" s="8" t="n">
        <v>15</v>
      </c>
      <c r="AL184" s="10" t="n">
        <v>0.25</v>
      </c>
      <c r="AM184" s="8" t="s">
        <v>74</v>
      </c>
      <c r="AN184" s="12" t="n">
        <v>62</v>
      </c>
      <c r="AO184" s="8" t="s">
        <v>77</v>
      </c>
      <c r="AP184" s="8" t="s">
        <v>74</v>
      </c>
      <c r="AQ184" s="10" t="n">
        <v>0.97</v>
      </c>
      <c r="AR184" s="8" t="n">
        <v>2</v>
      </c>
      <c r="AS184" s="8" t="n">
        <v>3</v>
      </c>
      <c r="AT184" s="8" t="n">
        <v>3</v>
      </c>
      <c r="AU184" s="8" t="n">
        <v>2</v>
      </c>
      <c r="AV184" s="8" t="n">
        <v>3</v>
      </c>
      <c r="AW184" s="8" t="n">
        <v>3</v>
      </c>
      <c r="AX184" s="8" t="n">
        <v>3</v>
      </c>
      <c r="AY184" s="8" t="n">
        <v>2</v>
      </c>
      <c r="AZ184" s="8" t="n">
        <v>1</v>
      </c>
      <c r="BA184" s="8" t="n">
        <v>2</v>
      </c>
      <c r="BB184" s="8" t="n">
        <v>1</v>
      </c>
      <c r="BC184" s="8" t="n">
        <v>4</v>
      </c>
      <c r="BD184" s="8" t="n">
        <v>3</v>
      </c>
      <c r="BE184" s="8" t="n">
        <v>3</v>
      </c>
      <c r="BF184" s="8" t="n">
        <v>1</v>
      </c>
      <c r="BG184" s="8" t="n">
        <v>1</v>
      </c>
      <c r="BH184" s="8" t="n">
        <v>5</v>
      </c>
      <c r="BI184" s="8" t="n">
        <v>5</v>
      </c>
      <c r="BJ184" s="9" t="n">
        <v>12</v>
      </c>
      <c r="BK184" s="9" t="n">
        <v>13</v>
      </c>
      <c r="BL184" s="9" t="n">
        <v>3</v>
      </c>
      <c r="BM184" s="9" t="n">
        <v>6</v>
      </c>
      <c r="BN184" s="10" t="n">
        <v>0.1</v>
      </c>
      <c r="BO184" s="10" t="n">
        <v>0.8</v>
      </c>
      <c r="BP184" s="10" t="n">
        <f aca="false">IF(AND(ISNUMBER(BN184),ISNUMBER(BO184)),BN184+BO184,"")</f>
        <v>0.9</v>
      </c>
      <c r="BQ184" s="10" t="n">
        <v>0.1</v>
      </c>
      <c r="BR184" s="10" t="n">
        <v>0</v>
      </c>
      <c r="BS184" s="10" t="n">
        <v>0</v>
      </c>
    </row>
    <row r="185" customFormat="false" ht="15" hidden="false" customHeight="false" outlineLevel="0" collapsed="false">
      <c r="A185" s="8" t="s">
        <v>102</v>
      </c>
      <c r="B185" s="8" t="s">
        <v>122</v>
      </c>
      <c r="C185" s="8" t="n">
        <v>5</v>
      </c>
      <c r="D185" s="9" t="n">
        <v>757</v>
      </c>
      <c r="E185" s="9" t="n">
        <v>72</v>
      </c>
      <c r="F185" s="8" t="s">
        <v>92</v>
      </c>
      <c r="G185" s="8" t="s">
        <v>74</v>
      </c>
      <c r="H185" s="10" t="n">
        <v>0.2</v>
      </c>
      <c r="I185" s="10" t="n">
        <v>0.047</v>
      </c>
      <c r="J185" s="10" t="n">
        <v>0.018</v>
      </c>
      <c r="K185" s="8" t="n">
        <v>0</v>
      </c>
      <c r="L185" s="8" t="n">
        <v>35</v>
      </c>
      <c r="M185" s="10" t="n">
        <v>0.01</v>
      </c>
      <c r="N185" s="8" t="n">
        <v>0</v>
      </c>
      <c r="O185" s="9" t="n">
        <v>138</v>
      </c>
      <c r="P185" s="10" t="n">
        <f aca="false">IF(AND(ISNUMBER(O185),ISNUMBER(D185),D185&gt;0),O185/D185,"")</f>
        <v>0.182298546895641</v>
      </c>
      <c r="Q185" s="9" t="n">
        <v>124</v>
      </c>
      <c r="R185" s="9" t="n">
        <v>36</v>
      </c>
      <c r="S185" s="9" t="n">
        <v>737</v>
      </c>
      <c r="T185" s="11" t="n">
        <f aca="false">IF(AND(ISNUMBER(S185),ISNUMBER(D185),D185&gt;0),S185/D185,"")</f>
        <v>0.973579920739762</v>
      </c>
      <c r="U185" s="10" t="n">
        <v>0.07</v>
      </c>
      <c r="V185" s="10" t="n">
        <v>0.12</v>
      </c>
      <c r="W185" s="10" t="n">
        <v>0.08</v>
      </c>
      <c r="X185" s="10" t="n">
        <v>0.2</v>
      </c>
      <c r="Y185" s="8" t="n">
        <v>1</v>
      </c>
      <c r="Z185" s="8" t="s">
        <v>74</v>
      </c>
      <c r="AA185" s="8" t="n">
        <v>30</v>
      </c>
      <c r="AB185" s="8" t="n">
        <v>0</v>
      </c>
      <c r="AC185" s="11" t="n">
        <f aca="false">IF(AND(ISNUMBER(AA185),ISNUMBER(D185),D185&gt;0),AA185/D185*100,"")</f>
        <v>3.96301188903567</v>
      </c>
      <c r="AD185" s="12" t="n">
        <v>1333</v>
      </c>
      <c r="AE185" s="8" t="s">
        <v>74</v>
      </c>
      <c r="AF185" s="8" t="s">
        <v>77</v>
      </c>
      <c r="AG185" s="12" t="n">
        <v>331.48</v>
      </c>
      <c r="AH185" s="12" t="n">
        <v>450.29</v>
      </c>
      <c r="AI185" s="12" t="n">
        <v>508.5</v>
      </c>
      <c r="AJ185" s="12" t="n">
        <v>725.58</v>
      </c>
      <c r="AK185" s="8" t="n">
        <v>20</v>
      </c>
      <c r="AL185" s="10" t="n">
        <v>0.5</v>
      </c>
      <c r="AM185" s="8" t="s">
        <v>77</v>
      </c>
      <c r="AN185" s="12"/>
      <c r="AO185" s="8" t="s">
        <v>77</v>
      </c>
      <c r="AP185" s="8" t="s">
        <v>74</v>
      </c>
      <c r="AQ185" s="10" t="n">
        <v>0.95</v>
      </c>
      <c r="AR185" s="8" t="n">
        <v>3</v>
      </c>
      <c r="AS185" s="8" t="n">
        <v>1</v>
      </c>
      <c r="AT185" s="8" t="n">
        <v>2</v>
      </c>
      <c r="AU185" s="8" t="n">
        <v>2</v>
      </c>
      <c r="AV185" s="8" t="n">
        <v>3</v>
      </c>
      <c r="AW185" s="8" t="n">
        <v>4</v>
      </c>
      <c r="AX185" s="8" t="n">
        <v>0</v>
      </c>
      <c r="AY185" s="8" t="n">
        <v>1</v>
      </c>
      <c r="AZ185" s="8" t="n">
        <v>3</v>
      </c>
      <c r="BA185" s="8" t="n">
        <v>3</v>
      </c>
      <c r="BB185" s="8" t="n">
        <v>2</v>
      </c>
      <c r="BC185" s="8" t="n">
        <v>3</v>
      </c>
      <c r="BD185" s="8" t="n">
        <v>1</v>
      </c>
      <c r="BE185" s="8" t="n">
        <v>1</v>
      </c>
      <c r="BF185" s="8" t="n">
        <v>1</v>
      </c>
      <c r="BG185" s="8" t="n">
        <v>1</v>
      </c>
      <c r="BH185" s="8" t="n">
        <v>3</v>
      </c>
      <c r="BI185" s="8" t="n">
        <v>3</v>
      </c>
      <c r="BJ185" s="9" t="n">
        <v>23</v>
      </c>
      <c r="BK185" s="9" t="n">
        <v>79</v>
      </c>
      <c r="BL185" s="9" t="n">
        <v>16</v>
      </c>
      <c r="BM185" s="9" t="n">
        <v>18</v>
      </c>
      <c r="BN185" s="10" t="n">
        <v>0.5</v>
      </c>
      <c r="BO185" s="10" t="n">
        <v>0.3</v>
      </c>
      <c r="BP185" s="10" t="n">
        <f aca="false">IF(AND(ISNUMBER(BN185),ISNUMBER(BO185)),BN185+BO185,"")</f>
        <v>0.8</v>
      </c>
      <c r="BQ185" s="10" t="n">
        <v>0.1</v>
      </c>
      <c r="BR185" s="10" t="n">
        <v>0.1</v>
      </c>
      <c r="BS185" s="10" t="n">
        <v>0</v>
      </c>
    </row>
    <row r="186" customFormat="false" ht="15" hidden="false" customHeight="false" outlineLevel="0" collapsed="false">
      <c r="A186" s="8" t="s">
        <v>103</v>
      </c>
      <c r="B186" s="8" t="s">
        <v>122</v>
      </c>
      <c r="C186" s="8" t="n">
        <v>5</v>
      </c>
      <c r="D186" s="9" t="n">
        <v>549</v>
      </c>
      <c r="E186" s="9" t="n">
        <v>92</v>
      </c>
      <c r="F186" s="8" t="s">
        <v>92</v>
      </c>
      <c r="G186" s="8" t="s">
        <v>74</v>
      </c>
      <c r="H186" s="10" t="n">
        <v>0</v>
      </c>
      <c r="I186" s="10" t="n">
        <v>0.024</v>
      </c>
      <c r="J186" s="10" t="n">
        <v>0.05</v>
      </c>
      <c r="K186" s="8" t="n">
        <v>0</v>
      </c>
      <c r="L186" s="8" t="n">
        <v>2</v>
      </c>
      <c r="M186" s="10" t="n">
        <v>0.024</v>
      </c>
      <c r="N186" s="8" t="n">
        <v>0</v>
      </c>
      <c r="O186" s="9" t="n">
        <v>34</v>
      </c>
      <c r="P186" s="10" t="n">
        <f aca="false">IF(AND(ISNUMBER(O186),ISNUMBER(D186),D186&gt;0),O186/D186,"")</f>
        <v>0.0619307832422587</v>
      </c>
      <c r="Q186" s="9" t="n">
        <v>24</v>
      </c>
      <c r="R186" s="9" t="n">
        <v>24</v>
      </c>
      <c r="S186" s="9" t="n">
        <v>481</v>
      </c>
      <c r="T186" s="11" t="n">
        <f aca="false">IF(AND(ISNUMBER(S186),ISNUMBER(D186),D186&gt;0),S186/D186,"")</f>
        <v>0.876138433515483</v>
      </c>
      <c r="U186" s="10" t="n">
        <v>0.071</v>
      </c>
      <c r="V186" s="10" t="n">
        <v>0.1</v>
      </c>
      <c r="W186" s="10" t="n">
        <v>0.085</v>
      </c>
      <c r="X186" s="10" t="n">
        <v>0.07</v>
      </c>
      <c r="Y186" s="8" t="n">
        <v>0</v>
      </c>
      <c r="Z186" s="8" t="s">
        <v>74</v>
      </c>
      <c r="AA186" s="8" t="n">
        <v>15</v>
      </c>
      <c r="AB186" s="8" t="n">
        <v>0</v>
      </c>
      <c r="AC186" s="11" t="n">
        <f aca="false">IF(AND(ISNUMBER(AA186),ISNUMBER(D186),D186&gt;0),AA186/D186*100,"")</f>
        <v>2.73224043715847</v>
      </c>
      <c r="AD186" s="12" t="n">
        <v>998</v>
      </c>
      <c r="AE186" s="8"/>
      <c r="AF186" s="8" t="s">
        <v>77</v>
      </c>
      <c r="AG186" s="12" t="n">
        <v>316</v>
      </c>
      <c r="AH186" s="12" t="n">
        <v>342</v>
      </c>
      <c r="AI186" s="12" t="n">
        <v>399</v>
      </c>
      <c r="AJ186" s="12" t="n">
        <v>411</v>
      </c>
      <c r="AK186" s="8" t="n">
        <v>23</v>
      </c>
      <c r="AL186" s="10" t="n">
        <v>0.3</v>
      </c>
      <c r="AM186" s="8" t="s">
        <v>74</v>
      </c>
      <c r="AN186" s="12" t="n">
        <v>28</v>
      </c>
      <c r="AO186" s="8" t="s">
        <v>77</v>
      </c>
      <c r="AP186" s="8" t="s">
        <v>74</v>
      </c>
      <c r="AQ186" s="10" t="n">
        <v>0.83</v>
      </c>
      <c r="AR186" s="8" t="n">
        <v>2</v>
      </c>
      <c r="AS186" s="8" t="n">
        <v>2</v>
      </c>
      <c r="AT186" s="8" t="n">
        <v>0</v>
      </c>
      <c r="AU186" s="8" t="n">
        <v>1</v>
      </c>
      <c r="AV186" s="8" t="n">
        <v>0</v>
      </c>
      <c r="AW186" s="8" t="n">
        <v>0</v>
      </c>
      <c r="AX186" s="8" t="n">
        <v>1</v>
      </c>
      <c r="AY186" s="8" t="n">
        <v>1</v>
      </c>
      <c r="AZ186" s="8" t="n">
        <v>1</v>
      </c>
      <c r="BA186" s="8" t="n">
        <v>1</v>
      </c>
      <c r="BB186" s="8" t="n">
        <v>1</v>
      </c>
      <c r="BC186" s="8" t="n">
        <v>1</v>
      </c>
      <c r="BD186" s="8" t="n">
        <v>2</v>
      </c>
      <c r="BE186" s="8" t="n">
        <v>1</v>
      </c>
      <c r="BF186" s="8" t="n">
        <v>0</v>
      </c>
      <c r="BG186" s="8" t="n">
        <v>1</v>
      </c>
      <c r="BH186" s="8" t="n">
        <v>3</v>
      </c>
      <c r="BI186" s="8" t="n">
        <v>3</v>
      </c>
      <c r="BJ186" s="9" t="n">
        <v>29</v>
      </c>
      <c r="BK186" s="9" t="n">
        <v>12</v>
      </c>
      <c r="BL186" s="9"/>
      <c r="BM186" s="9" t="n">
        <v>4</v>
      </c>
      <c r="BN186" s="10" t="n">
        <v>0.3</v>
      </c>
      <c r="BO186" s="10" t="n">
        <v>0.3</v>
      </c>
      <c r="BP186" s="10" t="n">
        <f aca="false">IF(AND(ISNUMBER(BN186),ISNUMBER(BO186)),BN186+BO186,"")</f>
        <v>0.6</v>
      </c>
      <c r="BQ186" s="10" t="n">
        <v>0.2</v>
      </c>
      <c r="BR186" s="10" t="n">
        <v>0.1</v>
      </c>
      <c r="BS186" s="10" t="n">
        <v>0.1</v>
      </c>
    </row>
    <row r="187" customFormat="false" ht="15" hidden="false" customHeight="false" outlineLevel="0" collapsed="false">
      <c r="A187" s="8" t="s">
        <v>104</v>
      </c>
      <c r="B187" s="8" t="s">
        <v>122</v>
      </c>
      <c r="C187" s="8" t="n">
        <v>5</v>
      </c>
      <c r="D187" s="9" t="n">
        <v>439</v>
      </c>
      <c r="E187" s="9" t="n">
        <v>35</v>
      </c>
      <c r="F187" s="8" t="s">
        <v>76</v>
      </c>
      <c r="G187" s="8" t="s">
        <v>74</v>
      </c>
      <c r="H187" s="10"/>
      <c r="I187" s="10" t="n">
        <v>0.012</v>
      </c>
      <c r="J187" s="10" t="n">
        <v>0.1</v>
      </c>
      <c r="K187" s="8" t="n">
        <v>0</v>
      </c>
      <c r="L187" s="8"/>
      <c r="M187" s="10" t="n">
        <v>0.1</v>
      </c>
      <c r="N187" s="8" t="n">
        <v>0</v>
      </c>
      <c r="O187" s="9" t="n">
        <v>120</v>
      </c>
      <c r="P187" s="10" t="n">
        <f aca="false">IF(AND(ISNUMBER(O187),ISNUMBER(D187),D187&gt;0),O187/D187,"")</f>
        <v>0.273348519362187</v>
      </c>
      <c r="Q187" s="9"/>
      <c r="R187" s="9" t="n">
        <v>90</v>
      </c>
      <c r="S187" s="9" t="n">
        <v>134</v>
      </c>
      <c r="T187" s="11" t="n">
        <f aca="false">IF(AND(ISNUMBER(S187),ISNUMBER(D187),D187&gt;0),S187/D187,"")</f>
        <v>0.305239179954442</v>
      </c>
      <c r="U187" s="10" t="n">
        <v>0.06</v>
      </c>
      <c r="V187" s="10" t="n">
        <v>0.105</v>
      </c>
      <c r="W187" s="10" t="n">
        <v>0.12</v>
      </c>
      <c r="X187" s="10" t="n">
        <v>0.005</v>
      </c>
      <c r="Y187" s="8" t="n">
        <v>1</v>
      </c>
      <c r="Z187" s="8" t="s">
        <v>77</v>
      </c>
      <c r="AA187" s="8" t="n">
        <v>0</v>
      </c>
      <c r="AB187" s="8" t="n">
        <v>0</v>
      </c>
      <c r="AC187" s="11" t="n">
        <f aca="false">IF(AND(ISNUMBER(AA187),ISNUMBER(D187),D187&gt;0),AA187/D187*100,"")</f>
        <v>0</v>
      </c>
      <c r="AD187" s="12"/>
      <c r="AE187" s="8" t="s">
        <v>77</v>
      </c>
      <c r="AF187" s="8" t="s">
        <v>74</v>
      </c>
      <c r="AG187" s="12" t="n">
        <v>226</v>
      </c>
      <c r="AH187" s="12" t="n">
        <v>248.5</v>
      </c>
      <c r="AI187" s="12" t="n">
        <v>282</v>
      </c>
      <c r="AJ187" s="12" t="n">
        <v>423.5</v>
      </c>
      <c r="AK187" s="8" t="n">
        <v>32</v>
      </c>
      <c r="AL187" s="10" t="n">
        <v>0.5</v>
      </c>
      <c r="AM187" s="8" t="s">
        <v>77</v>
      </c>
      <c r="AN187" s="12"/>
      <c r="AO187" s="8" t="s">
        <v>77</v>
      </c>
      <c r="AP187" s="8" t="s">
        <v>74</v>
      </c>
      <c r="AQ187" s="10"/>
      <c r="AR187" s="8" t="n">
        <v>1</v>
      </c>
      <c r="AS187" s="8" t="n">
        <v>1</v>
      </c>
      <c r="AT187" s="8" t="n">
        <v>2</v>
      </c>
      <c r="AU187" s="8" t="n">
        <v>3</v>
      </c>
      <c r="AV187" s="8" t="n">
        <v>1</v>
      </c>
      <c r="AW187" s="8" t="n">
        <v>1</v>
      </c>
      <c r="AX187" s="8" t="n">
        <v>2</v>
      </c>
      <c r="AY187" s="8" t="n">
        <v>1</v>
      </c>
      <c r="AZ187" s="8" t="n">
        <v>1</v>
      </c>
      <c r="BA187" s="8" t="n">
        <v>1</v>
      </c>
      <c r="BB187" s="8" t="n">
        <v>3</v>
      </c>
      <c r="BC187" s="8" t="n">
        <v>3</v>
      </c>
      <c r="BD187" s="8" t="n">
        <v>1</v>
      </c>
      <c r="BE187" s="8" t="n">
        <v>1</v>
      </c>
      <c r="BF187" s="8" t="n">
        <v>0</v>
      </c>
      <c r="BG187" s="8" t="n">
        <v>0</v>
      </c>
      <c r="BH187" s="8" t="n">
        <v>4</v>
      </c>
      <c r="BI187" s="8" t="n">
        <v>5</v>
      </c>
      <c r="BJ187" s="9" t="n">
        <v>48</v>
      </c>
      <c r="BK187" s="9" t="n">
        <v>57</v>
      </c>
      <c r="BL187" s="9" t="n">
        <v>10</v>
      </c>
      <c r="BM187" s="9" t="n">
        <v>2</v>
      </c>
      <c r="BN187" s="10" t="n">
        <v>0.4</v>
      </c>
      <c r="BO187" s="10" t="n">
        <v>0.3</v>
      </c>
      <c r="BP187" s="10" t="n">
        <f aca="false">IF(AND(ISNUMBER(BN187),ISNUMBER(BO187)),BN187+BO187,"")</f>
        <v>0.7</v>
      </c>
      <c r="BQ187" s="10" t="n">
        <v>0.2</v>
      </c>
      <c r="BR187" s="10" t="n">
        <v>0.1</v>
      </c>
      <c r="BS187" s="10" t="n">
        <v>0</v>
      </c>
    </row>
    <row r="188" customFormat="false" ht="15" hidden="false" customHeight="false" outlineLevel="0" collapsed="false">
      <c r="A188" s="8" t="s">
        <v>105</v>
      </c>
      <c r="B188" s="8" t="s">
        <v>122</v>
      </c>
      <c r="C188" s="8" t="n">
        <v>5</v>
      </c>
      <c r="D188" s="9" t="n">
        <v>0</v>
      </c>
      <c r="E188" s="9" t="n">
        <v>12</v>
      </c>
      <c r="F188" s="8" t="s">
        <v>81</v>
      </c>
      <c r="G188" s="8" t="s">
        <v>77</v>
      </c>
      <c r="H188" s="10"/>
      <c r="I188" s="10" t="n">
        <v>0.001</v>
      </c>
      <c r="J188" s="10"/>
      <c r="K188" s="8" t="n">
        <v>0</v>
      </c>
      <c r="L188" s="8"/>
      <c r="M188" s="10" t="n">
        <v>0.001</v>
      </c>
      <c r="N188" s="8" t="n">
        <v>0</v>
      </c>
      <c r="O188" s="9" t="n">
        <v>0</v>
      </c>
      <c r="P188" s="10" t="str">
        <f aca="false">IF(AND(ISNUMBER(O188),ISNUMBER(D188),D188&gt;0),O188/D188,"")</f>
        <v/>
      </c>
      <c r="Q188" s="9" t="n">
        <v>0</v>
      </c>
      <c r="R188" s="9" t="n">
        <v>0</v>
      </c>
      <c r="S188" s="9" t="n">
        <v>0</v>
      </c>
      <c r="T188" s="11" t="str">
        <f aca="false">IF(AND(ISNUMBER(S188),ISNUMBER(D188),D188&gt;0),S188/D188,"")</f>
        <v/>
      </c>
      <c r="U188" s="10"/>
      <c r="V188" s="10"/>
      <c r="W188" s="10"/>
      <c r="X188" s="10"/>
      <c r="Y188" s="8" t="n">
        <v>0</v>
      </c>
      <c r="Z188" s="8" t="s">
        <v>77</v>
      </c>
      <c r="AA188" s="8" t="n">
        <v>0</v>
      </c>
      <c r="AB188" s="8" t="n">
        <v>0</v>
      </c>
      <c r="AC188" s="11" t="str">
        <f aca="false">IF(AND(ISNUMBER(AA188),ISNUMBER(D188),D188&gt;0),AA188/D188*100,"")</f>
        <v/>
      </c>
      <c r="AD188" s="12"/>
      <c r="AE188" s="8"/>
      <c r="AF188" s="8" t="s">
        <v>77</v>
      </c>
      <c r="AG188" s="12" t="n">
        <v>633.33</v>
      </c>
      <c r="AH188" s="12" t="n">
        <v>766.66</v>
      </c>
      <c r="AI188" s="12" t="n">
        <v>850</v>
      </c>
      <c r="AJ188" s="12" t="n">
        <v>900</v>
      </c>
      <c r="AK188" s="8"/>
      <c r="AL188" s="10"/>
      <c r="AM188" s="8" t="s">
        <v>77</v>
      </c>
      <c r="AN188" s="12"/>
      <c r="AO188" s="8" t="s">
        <v>77</v>
      </c>
      <c r="AP188" s="8"/>
      <c r="AQ188" s="10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9" t="n">
        <v>0</v>
      </c>
      <c r="BK188" s="9" t="n">
        <v>0</v>
      </c>
      <c r="BL188" s="9" t="n">
        <v>0</v>
      </c>
      <c r="BM188" s="9" t="n">
        <v>0</v>
      </c>
      <c r="BN188" s="10"/>
      <c r="BO188" s="10"/>
      <c r="BP188" s="10" t="str">
        <f aca="false">IF(AND(ISNUMBER(BN188),ISNUMBER(BO188)),BN188+BO188,"")</f>
        <v/>
      </c>
      <c r="BQ188" s="10"/>
      <c r="BR188" s="10"/>
      <c r="BS188" s="10"/>
    </row>
    <row r="189" customFormat="false" ht="15" hidden="false" customHeight="false" outlineLevel="0" collapsed="false">
      <c r="A189" s="8" t="s">
        <v>106</v>
      </c>
      <c r="B189" s="8" t="s">
        <v>122</v>
      </c>
      <c r="C189" s="8" t="n">
        <v>5</v>
      </c>
      <c r="D189" s="9" t="n">
        <v>17100</v>
      </c>
      <c r="E189" s="9" t="n">
        <v>460</v>
      </c>
      <c r="F189" s="8" t="s">
        <v>81</v>
      </c>
      <c r="G189" s="8" t="s">
        <v>74</v>
      </c>
      <c r="H189" s="10"/>
      <c r="I189" s="10" t="n">
        <v>0.053</v>
      </c>
      <c r="J189" s="10" t="n">
        <v>0.023</v>
      </c>
      <c r="K189" s="8" t="n">
        <v>0</v>
      </c>
      <c r="L189" s="8" t="n">
        <v>5</v>
      </c>
      <c r="M189" s="10" t="n">
        <v>0.012</v>
      </c>
      <c r="N189" s="8" t="n">
        <v>0</v>
      </c>
      <c r="O189" s="9" t="n">
        <v>170</v>
      </c>
      <c r="P189" s="10" t="n">
        <f aca="false">IF(AND(ISNUMBER(O189),ISNUMBER(D189),D189&gt;0),O189/D189,"")</f>
        <v>0.00994152046783626</v>
      </c>
      <c r="Q189" s="9" t="n">
        <v>104</v>
      </c>
      <c r="R189" s="9" t="n">
        <v>104</v>
      </c>
      <c r="S189" s="9" t="n">
        <v>1839</v>
      </c>
      <c r="T189" s="11" t="n">
        <f aca="false">IF(AND(ISNUMBER(S189),ISNUMBER(D189),D189&gt;0),S189/D189,"")</f>
        <v>0.107543859649123</v>
      </c>
      <c r="U189" s="10" t="n">
        <v>0.08</v>
      </c>
      <c r="V189" s="10" t="n">
        <v>0.1</v>
      </c>
      <c r="W189" s="10" t="n">
        <v>0.08</v>
      </c>
      <c r="X189" s="10"/>
      <c r="Y189" s="8" t="n">
        <v>0</v>
      </c>
      <c r="Z189" s="8" t="s">
        <v>74</v>
      </c>
      <c r="AA189" s="8" t="n">
        <v>9</v>
      </c>
      <c r="AB189" s="8" t="n">
        <v>0</v>
      </c>
      <c r="AC189" s="11" t="n">
        <f aca="false">IF(AND(ISNUMBER(AA189),ISNUMBER(D189),D189&gt;0),AA189/D189*100,"")</f>
        <v>0.0526315789473684</v>
      </c>
      <c r="AD189" s="12" t="n">
        <v>1500</v>
      </c>
      <c r="AE189" s="8" t="s">
        <v>77</v>
      </c>
      <c r="AF189" s="8" t="s">
        <v>74</v>
      </c>
      <c r="AG189" s="12" t="n">
        <v>350</v>
      </c>
      <c r="AH189" s="12" t="n">
        <v>444</v>
      </c>
      <c r="AI189" s="12" t="n">
        <v>532</v>
      </c>
      <c r="AJ189" s="12" t="n">
        <v>757</v>
      </c>
      <c r="AK189" s="8" t="n">
        <v>22</v>
      </c>
      <c r="AL189" s="10" t="n">
        <v>0.5</v>
      </c>
      <c r="AM189" s="8" t="s">
        <v>77</v>
      </c>
      <c r="AN189" s="12"/>
      <c r="AO189" s="8" t="s">
        <v>77</v>
      </c>
      <c r="AP189" s="8" t="s">
        <v>74</v>
      </c>
      <c r="AQ189" s="10" t="n">
        <v>0.85</v>
      </c>
      <c r="AR189" s="8" t="n">
        <v>3</v>
      </c>
      <c r="AS189" s="8" t="n">
        <v>3</v>
      </c>
      <c r="AT189" s="8" t="n">
        <v>3</v>
      </c>
      <c r="AU189" s="8" t="n">
        <v>3</v>
      </c>
      <c r="AV189" s="8" t="n">
        <v>2</v>
      </c>
      <c r="AW189" s="8" t="n">
        <v>0</v>
      </c>
      <c r="AX189" s="8" t="n">
        <v>3</v>
      </c>
      <c r="AY189" s="8" t="n">
        <v>4</v>
      </c>
      <c r="AZ189" s="8" t="n">
        <v>2</v>
      </c>
      <c r="BA189" s="8" t="n">
        <v>2</v>
      </c>
      <c r="BB189" s="8" t="n">
        <v>2</v>
      </c>
      <c r="BC189" s="8" t="n">
        <v>4</v>
      </c>
      <c r="BD189" s="8" t="n">
        <v>0</v>
      </c>
      <c r="BE189" s="8" t="n">
        <v>0</v>
      </c>
      <c r="BF189" s="8" t="n">
        <v>2</v>
      </c>
      <c r="BG189" s="8" t="n">
        <v>2</v>
      </c>
      <c r="BH189" s="8" t="n">
        <v>2</v>
      </c>
      <c r="BI189" s="8" t="n">
        <v>4</v>
      </c>
      <c r="BJ189" s="9" t="n">
        <v>71</v>
      </c>
      <c r="BK189" s="9" t="n">
        <v>70</v>
      </c>
      <c r="BL189" s="9" t="n">
        <v>5</v>
      </c>
      <c r="BM189" s="9" t="n">
        <v>35</v>
      </c>
      <c r="BN189" s="10" t="n">
        <v>0.6</v>
      </c>
      <c r="BO189" s="10" t="n">
        <v>0.2</v>
      </c>
      <c r="BP189" s="10" t="n">
        <f aca="false">IF(AND(ISNUMBER(BN189),ISNUMBER(BO189)),BN189+BO189,"")</f>
        <v>0.8</v>
      </c>
      <c r="BQ189" s="10" t="n">
        <v>0.1</v>
      </c>
      <c r="BR189" s="10" t="n">
        <v>0</v>
      </c>
      <c r="BS189" s="10" t="n">
        <v>0.1</v>
      </c>
    </row>
    <row r="190" customFormat="false" ht="15" hidden="false" customHeight="false" outlineLevel="0" collapsed="false">
      <c r="A190" s="8" t="s">
        <v>107</v>
      </c>
      <c r="B190" s="8" t="s">
        <v>122</v>
      </c>
      <c r="C190" s="8" t="n">
        <v>5</v>
      </c>
      <c r="D190" s="9" t="n">
        <v>750</v>
      </c>
      <c r="E190" s="9" t="n">
        <v>277</v>
      </c>
      <c r="F190" s="8" t="s">
        <v>73</v>
      </c>
      <c r="G190" s="8" t="s">
        <v>74</v>
      </c>
      <c r="H190" s="10" t="n">
        <v>0.8</v>
      </c>
      <c r="I190" s="10" t="n">
        <v>0.055</v>
      </c>
      <c r="J190" s="10" t="n">
        <v>0.15</v>
      </c>
      <c r="K190" s="8" t="n">
        <v>1</v>
      </c>
      <c r="L190" s="8" t="n">
        <v>7</v>
      </c>
      <c r="M190" s="10" t="n">
        <v>0.04</v>
      </c>
      <c r="N190" s="8" t="n">
        <v>0</v>
      </c>
      <c r="O190" s="9" t="n">
        <v>85</v>
      </c>
      <c r="P190" s="10" t="n">
        <f aca="false">IF(AND(ISNUMBER(O190),ISNUMBER(D190),D190&gt;0),O190/D190,"")</f>
        <v>0.113333333333333</v>
      </c>
      <c r="Q190" s="9" t="n">
        <v>107</v>
      </c>
      <c r="R190" s="9" t="n">
        <v>83</v>
      </c>
      <c r="S190" s="9" t="n">
        <v>377</v>
      </c>
      <c r="T190" s="11" t="n">
        <f aca="false">IF(AND(ISNUMBER(S190),ISNUMBER(D190),D190&gt;0),S190/D190,"")</f>
        <v>0.502666666666667</v>
      </c>
      <c r="U190" s="10" t="n">
        <v>0.07</v>
      </c>
      <c r="V190" s="10" t="n">
        <v>0.1</v>
      </c>
      <c r="W190" s="10" t="n">
        <v>0.07</v>
      </c>
      <c r="X190" s="10" t="n">
        <v>0.13</v>
      </c>
      <c r="Y190" s="8" t="n">
        <v>0</v>
      </c>
      <c r="Z190" s="8" t="s">
        <v>74</v>
      </c>
      <c r="AA190" s="8" t="n">
        <v>11</v>
      </c>
      <c r="AB190" s="8" t="n">
        <v>0</v>
      </c>
      <c r="AC190" s="11" t="n">
        <f aca="false">IF(AND(ISNUMBER(AA190),ISNUMBER(D190),D190&gt;0),AA190/D190*100,"")</f>
        <v>1.46666666666667</v>
      </c>
      <c r="AD190" s="12" t="n">
        <v>1700</v>
      </c>
      <c r="AE190" s="8" t="s">
        <v>74</v>
      </c>
      <c r="AF190" s="8" t="s">
        <v>77</v>
      </c>
      <c r="AG190" s="12" t="n">
        <v>290.25</v>
      </c>
      <c r="AH190" s="12" t="n">
        <v>330.82</v>
      </c>
      <c r="AI190" s="12" t="n">
        <v>502.03</v>
      </c>
      <c r="AJ190" s="12" t="n">
        <v>590</v>
      </c>
      <c r="AK190" s="8" t="n">
        <v>28</v>
      </c>
      <c r="AL190" s="10" t="n">
        <v>0.4</v>
      </c>
      <c r="AM190" s="8" t="s">
        <v>74</v>
      </c>
      <c r="AN190" s="12" t="n">
        <v>22</v>
      </c>
      <c r="AO190" s="8" t="s">
        <v>74</v>
      </c>
      <c r="AP190" s="8" t="s">
        <v>74</v>
      </c>
      <c r="AQ190" s="10" t="n">
        <v>0.98</v>
      </c>
      <c r="AR190" s="8" t="n">
        <v>3</v>
      </c>
      <c r="AS190" s="8" t="n">
        <v>2</v>
      </c>
      <c r="AT190" s="8" t="n">
        <v>1</v>
      </c>
      <c r="AU190" s="8" t="n">
        <v>1</v>
      </c>
      <c r="AV190" s="8" t="n">
        <v>1</v>
      </c>
      <c r="AW190" s="8" t="n">
        <v>0</v>
      </c>
      <c r="AX190" s="8" t="n">
        <v>1</v>
      </c>
      <c r="AY190" s="8" t="n">
        <v>2</v>
      </c>
      <c r="AZ190" s="8" t="n">
        <v>2</v>
      </c>
      <c r="BA190" s="8" t="n">
        <v>2</v>
      </c>
      <c r="BB190" s="8" t="n">
        <v>1</v>
      </c>
      <c r="BC190" s="8" t="n">
        <v>3</v>
      </c>
      <c r="BD190" s="8" t="n">
        <v>1</v>
      </c>
      <c r="BE190" s="8" t="n">
        <v>1</v>
      </c>
      <c r="BF190" s="8" t="n">
        <v>1</v>
      </c>
      <c r="BG190" s="8" t="n">
        <v>1</v>
      </c>
      <c r="BH190" s="8" t="n">
        <v>3</v>
      </c>
      <c r="BI190" s="8" t="n">
        <v>0</v>
      </c>
      <c r="BJ190" s="9" t="n">
        <v>60</v>
      </c>
      <c r="BK190" s="9" t="n">
        <v>19</v>
      </c>
      <c r="BL190" s="9"/>
      <c r="BM190" s="9" t="n">
        <v>11</v>
      </c>
      <c r="BN190" s="10" t="n">
        <v>0.1</v>
      </c>
      <c r="BO190" s="10" t="n">
        <v>0.2</v>
      </c>
      <c r="BP190" s="10" t="n">
        <f aca="false">IF(AND(ISNUMBER(BN190),ISNUMBER(BO190)),BN190+BO190,"")</f>
        <v>0.3</v>
      </c>
      <c r="BQ190" s="10" t="n">
        <v>0</v>
      </c>
      <c r="BR190" s="10" t="n">
        <v>0.6</v>
      </c>
      <c r="BS190" s="10" t="n">
        <v>0.1</v>
      </c>
    </row>
    <row r="191" customFormat="false" ht="15" hidden="false" customHeight="false" outlineLevel="0" collapsed="false">
      <c r="A191" s="8" t="s">
        <v>108</v>
      </c>
      <c r="B191" s="8" t="s">
        <v>122</v>
      </c>
      <c r="C191" s="8" t="n">
        <v>5</v>
      </c>
      <c r="D191" s="9" t="n">
        <v>132</v>
      </c>
      <c r="E191" s="9" t="n">
        <v>48</v>
      </c>
      <c r="F191" s="8" t="s">
        <v>73</v>
      </c>
      <c r="G191" s="8" t="s">
        <v>77</v>
      </c>
      <c r="H191" s="10" t="n">
        <v>0.6</v>
      </c>
      <c r="I191" s="10" t="n">
        <v>0.033</v>
      </c>
      <c r="J191" s="10" t="n">
        <v>0.032</v>
      </c>
      <c r="K191" s="8" t="n">
        <v>0</v>
      </c>
      <c r="L191" s="8" t="n">
        <v>4</v>
      </c>
      <c r="M191" s="10" t="n">
        <v>0.021</v>
      </c>
      <c r="N191" s="8" t="n">
        <v>0</v>
      </c>
      <c r="O191" s="9" t="n">
        <v>3</v>
      </c>
      <c r="P191" s="10" t="n">
        <f aca="false">IF(AND(ISNUMBER(O191),ISNUMBER(D191),D191&gt;0),O191/D191,"")</f>
        <v>0.0227272727272727</v>
      </c>
      <c r="Q191" s="9"/>
      <c r="R191" s="9" t="n">
        <v>3</v>
      </c>
      <c r="S191" s="9" t="n">
        <v>124</v>
      </c>
      <c r="T191" s="11" t="n">
        <f aca="false">IF(AND(ISNUMBER(S191),ISNUMBER(D191),D191&gt;0),S191/D191,"")</f>
        <v>0.939393939393939</v>
      </c>
      <c r="U191" s="10" t="n">
        <v>0.08</v>
      </c>
      <c r="V191" s="10" t="n">
        <v>0.1</v>
      </c>
      <c r="W191" s="10" t="n">
        <v>0.1</v>
      </c>
      <c r="X191" s="10" t="n">
        <v>0.05</v>
      </c>
      <c r="Y191" s="8" t="n">
        <v>0</v>
      </c>
      <c r="Z191" s="8" t="s">
        <v>74</v>
      </c>
      <c r="AA191" s="8" t="n">
        <v>2</v>
      </c>
      <c r="AB191" s="8" t="n">
        <v>0</v>
      </c>
      <c r="AC191" s="11" t="n">
        <f aca="false">IF(AND(ISNUMBER(AA191),ISNUMBER(D191),D191&gt;0),AA191/D191*100,"")</f>
        <v>1.51515151515152</v>
      </c>
      <c r="AD191" s="12" t="n">
        <v>1200</v>
      </c>
      <c r="AE191" s="8" t="s">
        <v>77</v>
      </c>
      <c r="AF191" s="8" t="s">
        <v>74</v>
      </c>
      <c r="AG191" s="12" t="n">
        <v>304</v>
      </c>
      <c r="AH191" s="12" t="n">
        <v>320.76</v>
      </c>
      <c r="AI191" s="12" t="n">
        <v>388.12</v>
      </c>
      <c r="AJ191" s="12" t="n">
        <v>575</v>
      </c>
      <c r="AK191" s="8" t="n">
        <v>20</v>
      </c>
      <c r="AL191" s="10" t="n">
        <v>0.25</v>
      </c>
      <c r="AM191" s="8" t="s">
        <v>77</v>
      </c>
      <c r="AN191" s="12"/>
      <c r="AO191" s="8" t="s">
        <v>77</v>
      </c>
      <c r="AP191" s="8" t="s">
        <v>77</v>
      </c>
      <c r="AQ191" s="10" t="n">
        <v>0.8</v>
      </c>
      <c r="AR191" s="8" t="n">
        <v>3</v>
      </c>
      <c r="AS191" s="8" t="n">
        <v>2</v>
      </c>
      <c r="AT191" s="8" t="n">
        <v>3</v>
      </c>
      <c r="AU191" s="8" t="n">
        <v>1</v>
      </c>
      <c r="AV191" s="8" t="n">
        <v>1</v>
      </c>
      <c r="AW191" s="8" t="n">
        <v>0</v>
      </c>
      <c r="AX191" s="8" t="n">
        <v>1</v>
      </c>
      <c r="AY191" s="8" t="n">
        <v>1</v>
      </c>
      <c r="AZ191" s="8" t="n">
        <v>2</v>
      </c>
      <c r="BA191" s="8" t="n">
        <v>3</v>
      </c>
      <c r="BB191" s="8" t="n">
        <v>2</v>
      </c>
      <c r="BC191" s="8" t="n">
        <v>3</v>
      </c>
      <c r="BD191" s="8"/>
      <c r="BE191" s="8" t="n">
        <v>2</v>
      </c>
      <c r="BF191" s="8" t="n">
        <v>0</v>
      </c>
      <c r="BG191" s="8" t="n">
        <v>1</v>
      </c>
      <c r="BH191" s="8" t="n">
        <v>3</v>
      </c>
      <c r="BI191" s="8" t="n">
        <v>3</v>
      </c>
      <c r="BJ191" s="9" t="n">
        <v>1</v>
      </c>
      <c r="BK191" s="9" t="n">
        <v>0</v>
      </c>
      <c r="BL191" s="9" t="n">
        <v>1</v>
      </c>
      <c r="BM191" s="9" t="n">
        <v>1</v>
      </c>
      <c r="BN191" s="10" t="n">
        <v>0.9</v>
      </c>
      <c r="BO191" s="10" t="n">
        <v>0</v>
      </c>
      <c r="BP191" s="10" t="n">
        <f aca="false">IF(AND(ISNUMBER(BN191),ISNUMBER(BO191)),BN191+BO191,"")</f>
        <v>0.9</v>
      </c>
      <c r="BQ191" s="10" t="n">
        <v>0</v>
      </c>
      <c r="BR191" s="10" t="n">
        <v>0.1</v>
      </c>
      <c r="BS191" s="10" t="n">
        <v>0</v>
      </c>
    </row>
    <row r="192" customFormat="false" ht="15" hidden="false" customHeight="false" outlineLevel="0" collapsed="false">
      <c r="A192" s="8" t="s">
        <v>109</v>
      </c>
      <c r="B192" s="8" t="s">
        <v>122</v>
      </c>
      <c r="C192" s="8" t="n">
        <v>5</v>
      </c>
      <c r="D192" s="9" t="n">
        <v>250</v>
      </c>
      <c r="E192" s="9" t="n">
        <v>506</v>
      </c>
      <c r="F192" s="8" t="s">
        <v>92</v>
      </c>
      <c r="G192" s="8" t="s">
        <v>74</v>
      </c>
      <c r="H192" s="10" t="n">
        <v>0.2</v>
      </c>
      <c r="I192" s="10" t="n">
        <v>0.021</v>
      </c>
      <c r="J192" s="10" t="n">
        <v>0.004</v>
      </c>
      <c r="K192" s="8" t="n">
        <v>0</v>
      </c>
      <c r="L192" s="8" t="n">
        <v>7</v>
      </c>
      <c r="M192" s="10" t="n">
        <v>0.007</v>
      </c>
      <c r="N192" s="8" t="n">
        <v>0</v>
      </c>
      <c r="O192" s="9" t="n">
        <v>8</v>
      </c>
      <c r="P192" s="10" t="n">
        <f aca="false">IF(AND(ISNUMBER(O192),ISNUMBER(D192),D192&gt;0),O192/D192,"")</f>
        <v>0.032</v>
      </c>
      <c r="Q192" s="9" t="n">
        <v>12</v>
      </c>
      <c r="R192" s="9" t="n">
        <v>12</v>
      </c>
      <c r="S192" s="9" t="n">
        <v>80</v>
      </c>
      <c r="T192" s="11" t="n">
        <f aca="false">IF(AND(ISNUMBER(S192),ISNUMBER(D192),D192&gt;0),S192/D192,"")</f>
        <v>0.32</v>
      </c>
      <c r="U192" s="10" t="n">
        <v>0.065</v>
      </c>
      <c r="V192" s="10" t="n">
        <v>0.1</v>
      </c>
      <c r="W192" s="10" t="n">
        <v>0.08</v>
      </c>
      <c r="X192" s="10"/>
      <c r="Y192" s="8" t="n">
        <v>0</v>
      </c>
      <c r="Z192" s="8" t="s">
        <v>74</v>
      </c>
      <c r="AA192" s="8" t="n">
        <v>10</v>
      </c>
      <c r="AB192" s="8" t="n">
        <v>0</v>
      </c>
      <c r="AC192" s="11" t="n">
        <f aca="false">IF(AND(ISNUMBER(AA192),ISNUMBER(D192),D192&gt;0),AA192/D192*100,"")</f>
        <v>4</v>
      </c>
      <c r="AD192" s="12" t="n">
        <v>1800</v>
      </c>
      <c r="AE192" s="8" t="s">
        <v>74</v>
      </c>
      <c r="AF192" s="8" t="s">
        <v>77</v>
      </c>
      <c r="AG192" s="12" t="n">
        <v>325</v>
      </c>
      <c r="AH192" s="12" t="n">
        <v>372</v>
      </c>
      <c r="AI192" s="12" t="n">
        <v>430</v>
      </c>
      <c r="AJ192" s="12" t="n">
        <v>499</v>
      </c>
      <c r="AK192" s="8" t="n">
        <v>20</v>
      </c>
      <c r="AL192" s="10" t="n">
        <v>0.4</v>
      </c>
      <c r="AM192" s="8" t="s">
        <v>74</v>
      </c>
      <c r="AN192" s="12" t="n">
        <v>34</v>
      </c>
      <c r="AO192" s="8" t="s">
        <v>77</v>
      </c>
      <c r="AP192" s="8" t="s">
        <v>74</v>
      </c>
      <c r="AQ192" s="10" t="n">
        <v>0.9</v>
      </c>
      <c r="AR192" s="8" t="n">
        <v>3</v>
      </c>
      <c r="AS192" s="8" t="n">
        <v>0</v>
      </c>
      <c r="AT192" s="8" t="n">
        <v>0</v>
      </c>
      <c r="AU192" s="8" t="n">
        <v>0</v>
      </c>
      <c r="AV192" s="8" t="n">
        <v>0</v>
      </c>
      <c r="AW192" s="8" t="n">
        <v>0</v>
      </c>
      <c r="AX192" s="8" t="n">
        <v>0</v>
      </c>
      <c r="AY192" s="8" t="n">
        <v>0</v>
      </c>
      <c r="AZ192" s="8" t="n">
        <v>2</v>
      </c>
      <c r="BA192" s="8" t="n">
        <v>2</v>
      </c>
      <c r="BB192" s="8" t="n">
        <v>2</v>
      </c>
      <c r="BC192" s="8" t="n">
        <v>3</v>
      </c>
      <c r="BD192" s="8" t="n">
        <v>1</v>
      </c>
      <c r="BE192" s="8" t="n">
        <v>0</v>
      </c>
      <c r="BF192" s="8" t="n">
        <v>0</v>
      </c>
      <c r="BG192" s="8" t="n">
        <v>0</v>
      </c>
      <c r="BH192" s="8" t="n">
        <v>0</v>
      </c>
      <c r="BI192" s="8" t="n">
        <v>3</v>
      </c>
      <c r="BJ192" s="9" t="n">
        <v>7</v>
      </c>
      <c r="BK192" s="9" t="n">
        <v>1</v>
      </c>
      <c r="BL192" s="9" t="n">
        <v>3</v>
      </c>
      <c r="BM192" s="9" t="n">
        <v>12</v>
      </c>
      <c r="BN192" s="10" t="n">
        <v>0.4</v>
      </c>
      <c r="BO192" s="10" t="n">
        <v>0.2</v>
      </c>
      <c r="BP192" s="10" t="n">
        <f aca="false">IF(AND(ISNUMBER(BN192),ISNUMBER(BO192)),BN192+BO192,"")</f>
        <v>0.6</v>
      </c>
      <c r="BQ192" s="10" t="n">
        <v>0.1</v>
      </c>
      <c r="BR192" s="10" t="n">
        <v>0.1</v>
      </c>
      <c r="BS192" s="10" t="n">
        <v>0.2</v>
      </c>
    </row>
    <row r="193" customFormat="false" ht="15" hidden="false" customHeight="false" outlineLevel="0" collapsed="false">
      <c r="A193" s="8" t="s">
        <v>110</v>
      </c>
      <c r="B193" s="8" t="s">
        <v>122</v>
      </c>
      <c r="C193" s="8" t="n">
        <v>5</v>
      </c>
      <c r="D193" s="9" t="n">
        <v>39</v>
      </c>
      <c r="E193" s="9" t="n">
        <v>50</v>
      </c>
      <c r="F193" s="8" t="s">
        <v>81</v>
      </c>
      <c r="G193" s="8" t="s">
        <v>74</v>
      </c>
      <c r="H193" s="10" t="n">
        <v>0</v>
      </c>
      <c r="I193" s="10" t="n">
        <v>0.011</v>
      </c>
      <c r="J193" s="10"/>
      <c r="K193" s="8" t="n">
        <v>0</v>
      </c>
      <c r="L193" s="8" t="n">
        <v>30</v>
      </c>
      <c r="M193" s="10"/>
      <c r="N193" s="8" t="n">
        <v>0</v>
      </c>
      <c r="O193" s="9" t="n">
        <v>0</v>
      </c>
      <c r="P193" s="10" t="n">
        <f aca="false">IF(AND(ISNUMBER(O193),ISNUMBER(D193),D193&gt;0),O193/D193,"")</f>
        <v>0</v>
      </c>
      <c r="Q193" s="9"/>
      <c r="R193" s="9" t="n">
        <v>0</v>
      </c>
      <c r="S193" s="9" t="n">
        <v>4</v>
      </c>
      <c r="T193" s="11" t="n">
        <f aca="false">IF(AND(ISNUMBER(S193),ISNUMBER(D193),D193&gt;0),S193/D193,"")</f>
        <v>0.102564102564103</v>
      </c>
      <c r="U193" s="10" t="n">
        <v>0.07</v>
      </c>
      <c r="V193" s="10" t="n">
        <v>0.12</v>
      </c>
      <c r="W193" s="10" t="n">
        <v>0.13</v>
      </c>
      <c r="X193" s="10"/>
      <c r="Y193" s="8" t="n">
        <v>0</v>
      </c>
      <c r="Z193" s="8" t="s">
        <v>74</v>
      </c>
      <c r="AA193" s="8" t="n">
        <v>4</v>
      </c>
      <c r="AB193" s="8" t="n">
        <v>0</v>
      </c>
      <c r="AC193" s="11" t="n">
        <f aca="false">IF(AND(ISNUMBER(AA193),ISNUMBER(D193),D193&gt;0),AA193/D193*100,"")</f>
        <v>10.2564102564103</v>
      </c>
      <c r="AD193" s="12" t="n">
        <v>2501.34</v>
      </c>
      <c r="AE193" s="8" t="s">
        <v>74</v>
      </c>
      <c r="AF193" s="8" t="s">
        <v>77</v>
      </c>
      <c r="AG193" s="12" t="n">
        <v>344.26</v>
      </c>
      <c r="AH193" s="12" t="n">
        <v>380.16</v>
      </c>
      <c r="AI193" s="12" t="n">
        <v>608.26</v>
      </c>
      <c r="AJ193" s="12" t="n">
        <v>730</v>
      </c>
      <c r="AK193" s="8" t="n">
        <v>30</v>
      </c>
      <c r="AL193" s="10" t="n">
        <v>0.75</v>
      </c>
      <c r="AM193" s="8" t="s">
        <v>77</v>
      </c>
      <c r="AN193" s="12"/>
      <c r="AO193" s="8" t="s">
        <v>74</v>
      </c>
      <c r="AP193" s="8" t="s">
        <v>74</v>
      </c>
      <c r="AQ193" s="10" t="n">
        <v>0.5</v>
      </c>
      <c r="AR193" s="8" t="n">
        <v>1</v>
      </c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 t="n">
        <v>1</v>
      </c>
      <c r="BJ193" s="9" t="n">
        <v>0</v>
      </c>
      <c r="BK193" s="9" t="n">
        <v>0</v>
      </c>
      <c r="BL193" s="9" t="n">
        <v>0</v>
      </c>
      <c r="BM193" s="9" t="n">
        <v>0</v>
      </c>
      <c r="BN193" s="10" t="n">
        <v>0</v>
      </c>
      <c r="BO193" s="10" t="n">
        <v>0.2</v>
      </c>
      <c r="BP193" s="10" t="n">
        <f aca="false">IF(AND(ISNUMBER(BN193),ISNUMBER(BO193)),BN193+BO193,"")</f>
        <v>0.2</v>
      </c>
      <c r="BQ193" s="10" t="n">
        <v>0</v>
      </c>
      <c r="BR193" s="10" t="n">
        <v>0</v>
      </c>
      <c r="BS193" s="10" t="n">
        <v>0.8</v>
      </c>
    </row>
    <row r="194" customFormat="false" ht="15" hidden="false" customHeight="false" outlineLevel="0" collapsed="false">
      <c r="A194" s="8" t="s">
        <v>111</v>
      </c>
      <c r="B194" s="8" t="s">
        <v>122</v>
      </c>
      <c r="C194" s="8" t="n">
        <v>5</v>
      </c>
      <c r="D194" s="9" t="n">
        <v>93</v>
      </c>
      <c r="E194" s="9" t="n">
        <v>65</v>
      </c>
      <c r="F194" s="8" t="s">
        <v>73</v>
      </c>
      <c r="G194" s="8" t="s">
        <v>74</v>
      </c>
      <c r="H194" s="10" t="n">
        <v>0</v>
      </c>
      <c r="I194" s="10" t="n">
        <v>0.01</v>
      </c>
      <c r="J194" s="10" t="n">
        <v>0.012</v>
      </c>
      <c r="K194" s="8" t="n">
        <v>0</v>
      </c>
      <c r="L194" s="8" t="n">
        <v>15</v>
      </c>
      <c r="M194" s="10" t="n">
        <v>0.005</v>
      </c>
      <c r="N194" s="8" t="n">
        <v>0</v>
      </c>
      <c r="O194" s="9" t="n">
        <v>1</v>
      </c>
      <c r="P194" s="10" t="n">
        <f aca="false">IF(AND(ISNUMBER(O194),ISNUMBER(D194),D194&gt;0),O194/D194,"")</f>
        <v>0.010752688172043</v>
      </c>
      <c r="Q194" s="9" t="n">
        <v>1</v>
      </c>
      <c r="R194" s="9" t="n">
        <v>1</v>
      </c>
      <c r="S194" s="9" t="n">
        <v>6</v>
      </c>
      <c r="T194" s="11" t="n">
        <f aca="false">IF(AND(ISNUMBER(S194),ISNUMBER(D194),D194&gt;0),S194/D194,"")</f>
        <v>0.0645161290322581</v>
      </c>
      <c r="U194" s="10" t="n">
        <v>0.1</v>
      </c>
      <c r="V194" s="10" t="n">
        <v>0.085</v>
      </c>
      <c r="W194" s="10" t="n">
        <v>0.065</v>
      </c>
      <c r="X194" s="10" t="n">
        <v>0.025</v>
      </c>
      <c r="Y194" s="8" t="n">
        <v>0</v>
      </c>
      <c r="Z194" s="8" t="s">
        <v>74</v>
      </c>
      <c r="AA194" s="8" t="n">
        <v>10</v>
      </c>
      <c r="AB194" s="8" t="n">
        <v>0</v>
      </c>
      <c r="AC194" s="11" t="n">
        <f aca="false">IF(AND(ISNUMBER(AA194),ISNUMBER(D194),D194&gt;0),AA194/D194*100,"")</f>
        <v>10.752688172043</v>
      </c>
      <c r="AD194" s="12" t="n">
        <v>3500</v>
      </c>
      <c r="AE194" s="8"/>
      <c r="AF194" s="8" t="s">
        <v>74</v>
      </c>
      <c r="AG194" s="12" t="n">
        <v>346.73</v>
      </c>
      <c r="AH194" s="12" t="n">
        <v>378.64</v>
      </c>
      <c r="AI194" s="12" t="n">
        <v>411.51</v>
      </c>
      <c r="AJ194" s="12" t="n">
        <v>466.65</v>
      </c>
      <c r="AK194" s="8" t="n">
        <v>17</v>
      </c>
      <c r="AL194" s="10" t="n">
        <v>0.3</v>
      </c>
      <c r="AM194" s="8" t="s">
        <v>74</v>
      </c>
      <c r="AN194" s="12" t="n">
        <v>48</v>
      </c>
      <c r="AO194" s="8" t="s">
        <v>74</v>
      </c>
      <c r="AP194" s="8" t="s">
        <v>74</v>
      </c>
      <c r="AQ194" s="10" t="n">
        <v>1</v>
      </c>
      <c r="AR194" s="8" t="n">
        <v>2</v>
      </c>
      <c r="AS194" s="8" t="n">
        <v>1</v>
      </c>
      <c r="AT194" s="8" t="n">
        <v>0</v>
      </c>
      <c r="AU194" s="8" t="n">
        <v>0</v>
      </c>
      <c r="AV194" s="8" t="n">
        <v>0</v>
      </c>
      <c r="AW194" s="8" t="n">
        <v>0</v>
      </c>
      <c r="AX194" s="8" t="n">
        <v>0</v>
      </c>
      <c r="AY194" s="8" t="n">
        <v>3</v>
      </c>
      <c r="AZ194" s="8" t="n">
        <v>3</v>
      </c>
      <c r="BA194" s="8" t="n">
        <v>3</v>
      </c>
      <c r="BB194" s="8" t="n">
        <v>1</v>
      </c>
      <c r="BC194" s="8" t="n">
        <v>0</v>
      </c>
      <c r="BD194" s="8" t="n">
        <v>0</v>
      </c>
      <c r="BE194" s="8" t="n">
        <v>3</v>
      </c>
      <c r="BF194" s="8" t="n">
        <v>1</v>
      </c>
      <c r="BG194" s="8" t="n">
        <v>0</v>
      </c>
      <c r="BH194" s="8" t="n">
        <v>0</v>
      </c>
      <c r="BI194" s="8"/>
      <c r="BJ194" s="9" t="n">
        <v>0</v>
      </c>
      <c r="BK194" s="9" t="n">
        <v>0</v>
      </c>
      <c r="BL194" s="9" t="n">
        <v>0</v>
      </c>
      <c r="BM194" s="9" t="n">
        <v>1</v>
      </c>
      <c r="BN194" s="10" t="n">
        <v>0</v>
      </c>
      <c r="BO194" s="10" t="n">
        <v>0</v>
      </c>
      <c r="BP194" s="10" t="n">
        <f aca="false">IF(AND(ISNUMBER(BN194),ISNUMBER(BO194)),BN194+BO194,"")</f>
        <v>0</v>
      </c>
      <c r="BQ194" s="10" t="n">
        <v>0.8</v>
      </c>
      <c r="BR194" s="10" t="n">
        <v>0.2</v>
      </c>
      <c r="BS194" s="10" t="n">
        <v>0</v>
      </c>
    </row>
    <row r="195" customFormat="false" ht="15" hidden="false" customHeight="false" outlineLevel="0" collapsed="false">
      <c r="A195" s="8" t="s">
        <v>112</v>
      </c>
      <c r="B195" s="8" t="s">
        <v>122</v>
      </c>
      <c r="C195" s="8" t="n">
        <v>5</v>
      </c>
      <c r="D195" s="9" t="n">
        <v>419</v>
      </c>
      <c r="E195" s="9" t="n">
        <v>311</v>
      </c>
      <c r="F195" s="8" t="s">
        <v>92</v>
      </c>
      <c r="G195" s="8" t="s">
        <v>74</v>
      </c>
      <c r="H195" s="10" t="n">
        <v>0</v>
      </c>
      <c r="I195" s="10" t="n">
        <v>0.002</v>
      </c>
      <c r="J195" s="10" t="n">
        <v>0.002</v>
      </c>
      <c r="K195" s="8" t="n">
        <v>0</v>
      </c>
      <c r="L195" s="8" t="n">
        <v>40</v>
      </c>
      <c r="M195" s="10" t="n">
        <v>0.014</v>
      </c>
      <c r="N195" s="8" t="n">
        <v>0</v>
      </c>
      <c r="O195" s="9" t="n">
        <v>6</v>
      </c>
      <c r="P195" s="10" t="n">
        <f aca="false">IF(AND(ISNUMBER(O195),ISNUMBER(D195),D195&gt;0),O195/D195,"")</f>
        <v>0.0143198090692124</v>
      </c>
      <c r="Q195" s="9" t="n">
        <v>1</v>
      </c>
      <c r="R195" s="9" t="n">
        <v>1</v>
      </c>
      <c r="S195" s="9" t="n">
        <v>44</v>
      </c>
      <c r="T195" s="11" t="n">
        <f aca="false">IF(AND(ISNUMBER(S195),ISNUMBER(D195),D195&gt;0),S195/D195,"")</f>
        <v>0.105011933174224</v>
      </c>
      <c r="U195" s="10" t="n">
        <v>0.06</v>
      </c>
      <c r="V195" s="10" t="n">
        <v>0.12</v>
      </c>
      <c r="W195" s="10" t="n">
        <v>0.08</v>
      </c>
      <c r="X195" s="10"/>
      <c r="Y195" s="8" t="n">
        <v>0</v>
      </c>
      <c r="Z195" s="8" t="s">
        <v>74</v>
      </c>
      <c r="AA195" s="8" t="n">
        <v>41</v>
      </c>
      <c r="AB195" s="8" t="n">
        <v>1</v>
      </c>
      <c r="AC195" s="11" t="n">
        <f aca="false">IF(AND(ISNUMBER(AA195),ISNUMBER(D195),D195&gt;0),AA195/D195*100,"")</f>
        <v>9.78520286396181</v>
      </c>
      <c r="AD195" s="12" t="n">
        <v>1500</v>
      </c>
      <c r="AE195" s="8" t="s">
        <v>74</v>
      </c>
      <c r="AF195" s="8" t="s">
        <v>77</v>
      </c>
      <c r="AG195" s="12" t="n">
        <v>309</v>
      </c>
      <c r="AH195" s="12" t="n">
        <v>361.36</v>
      </c>
      <c r="AI195" s="12" t="n">
        <v>524.07</v>
      </c>
      <c r="AJ195" s="12" t="n">
        <v>784</v>
      </c>
      <c r="AK195" s="8" t="n">
        <v>26</v>
      </c>
      <c r="AL195" s="10" t="n">
        <v>0.5</v>
      </c>
      <c r="AM195" s="8" t="s">
        <v>74</v>
      </c>
      <c r="AN195" s="12" t="n">
        <v>42</v>
      </c>
      <c r="AO195" s="8" t="s">
        <v>74</v>
      </c>
      <c r="AP195" s="8" t="s">
        <v>74</v>
      </c>
      <c r="AQ195" s="10" t="n">
        <v>0.8</v>
      </c>
      <c r="AR195" s="8" t="n">
        <v>1</v>
      </c>
      <c r="AS195" s="8" t="n">
        <v>3</v>
      </c>
      <c r="AT195" s="8" t="n">
        <v>1</v>
      </c>
      <c r="AU195" s="8" t="n">
        <v>2</v>
      </c>
      <c r="AV195" s="8" t="n">
        <v>2</v>
      </c>
      <c r="AW195" s="8"/>
      <c r="AX195" s="8" t="n">
        <v>1</v>
      </c>
      <c r="AY195" s="8" t="n">
        <v>1</v>
      </c>
      <c r="AZ195" s="8" t="n">
        <v>1</v>
      </c>
      <c r="BA195" s="8" t="n">
        <v>1</v>
      </c>
      <c r="BB195" s="8" t="n">
        <v>3</v>
      </c>
      <c r="BC195" s="8" t="n">
        <v>1</v>
      </c>
      <c r="BD195" s="8" t="n">
        <v>2</v>
      </c>
      <c r="BE195" s="8" t="n">
        <v>2</v>
      </c>
      <c r="BF195" s="8" t="n">
        <v>2</v>
      </c>
      <c r="BG195" s="8" t="n">
        <v>1</v>
      </c>
      <c r="BH195" s="8" t="n">
        <v>3</v>
      </c>
      <c r="BI195" s="8" t="n">
        <v>2</v>
      </c>
      <c r="BJ195" s="9" t="n">
        <v>1</v>
      </c>
      <c r="BK195" s="9" t="n">
        <v>0</v>
      </c>
      <c r="BL195" s="9" t="n">
        <v>0</v>
      </c>
      <c r="BM195" s="9" t="n">
        <v>1</v>
      </c>
      <c r="BN195" s="10" t="n">
        <v>0</v>
      </c>
      <c r="BO195" s="10" t="n">
        <v>0.1</v>
      </c>
      <c r="BP195" s="10" t="n">
        <f aca="false">IF(AND(ISNUMBER(BN195),ISNUMBER(BO195)),BN195+BO195,"")</f>
        <v>0.1</v>
      </c>
      <c r="BQ195" s="10" t="n">
        <v>0.1</v>
      </c>
      <c r="BR195" s="10" t="n">
        <v>0.1</v>
      </c>
      <c r="BS195" s="10" t="n">
        <v>0.7</v>
      </c>
    </row>
    <row r="196" customFormat="false" ht="15" hidden="false" customHeight="false" outlineLevel="0" collapsed="false">
      <c r="A196" s="8" t="s">
        <v>113</v>
      </c>
      <c r="B196" s="8" t="s">
        <v>122</v>
      </c>
      <c r="C196" s="8" t="n">
        <v>5</v>
      </c>
      <c r="D196" s="9" t="n">
        <v>81</v>
      </c>
      <c r="E196" s="9" t="n">
        <v>47</v>
      </c>
      <c r="F196" s="8" t="s">
        <v>76</v>
      </c>
      <c r="G196" s="8" t="s">
        <v>77</v>
      </c>
      <c r="H196" s="10" t="n">
        <v>0.3</v>
      </c>
      <c r="I196" s="10" t="n">
        <v>0.055</v>
      </c>
      <c r="J196" s="10" t="n">
        <v>0.003</v>
      </c>
      <c r="K196" s="8" t="n">
        <v>0</v>
      </c>
      <c r="L196" s="8" t="n">
        <v>3</v>
      </c>
      <c r="M196" s="10" t="n">
        <v>0.01</v>
      </c>
      <c r="N196" s="8" t="n">
        <v>0</v>
      </c>
      <c r="O196" s="9" t="n">
        <v>9</v>
      </c>
      <c r="P196" s="10" t="n">
        <f aca="false">IF(AND(ISNUMBER(O196),ISNUMBER(D196),D196&gt;0),O196/D196,"")</f>
        <v>0.111111111111111</v>
      </c>
      <c r="Q196" s="9" t="n">
        <v>0</v>
      </c>
      <c r="R196" s="9" t="n">
        <v>2</v>
      </c>
      <c r="S196" s="9" t="n">
        <v>20</v>
      </c>
      <c r="T196" s="11" t="n">
        <f aca="false">IF(AND(ISNUMBER(S196),ISNUMBER(D196),D196&gt;0),S196/D196,"")</f>
        <v>0.246913580246914</v>
      </c>
      <c r="U196" s="10" t="n">
        <v>0.1</v>
      </c>
      <c r="V196" s="10"/>
      <c r="W196" s="10"/>
      <c r="X196" s="10" t="n">
        <v>0.1</v>
      </c>
      <c r="Y196" s="8" t="n">
        <v>0</v>
      </c>
      <c r="Z196" s="8" t="s">
        <v>77</v>
      </c>
      <c r="AA196" s="8" t="n">
        <v>0</v>
      </c>
      <c r="AB196" s="8" t="n">
        <v>0</v>
      </c>
      <c r="AC196" s="11" t="n">
        <f aca="false">IF(AND(ISNUMBER(AA196),ISNUMBER(D196),D196&gt;0),AA196/D196*100,"")</f>
        <v>0</v>
      </c>
      <c r="AD196" s="12"/>
      <c r="AE196" s="8" t="s">
        <v>74</v>
      </c>
      <c r="AF196" s="8" t="s">
        <v>74</v>
      </c>
      <c r="AG196" s="12" t="n">
        <v>278.78</v>
      </c>
      <c r="AH196" s="12" t="n">
        <v>278.78</v>
      </c>
      <c r="AI196" s="12" t="n">
        <v>351.26</v>
      </c>
      <c r="AJ196" s="12" t="n">
        <v>577.38</v>
      </c>
      <c r="AK196" s="8" t="n">
        <v>15</v>
      </c>
      <c r="AL196" s="10" t="n">
        <v>0.25</v>
      </c>
      <c r="AM196" s="8" t="s">
        <v>74</v>
      </c>
      <c r="AN196" s="12" t="n">
        <v>45</v>
      </c>
      <c r="AO196" s="8" t="s">
        <v>77</v>
      </c>
      <c r="AP196" s="8" t="s">
        <v>74</v>
      </c>
      <c r="AQ196" s="10"/>
      <c r="AR196" s="8" t="n">
        <v>3</v>
      </c>
      <c r="AS196" s="8" t="n">
        <v>3</v>
      </c>
      <c r="AT196" s="8" t="n">
        <v>3</v>
      </c>
      <c r="AU196" s="8"/>
      <c r="AV196" s="8"/>
      <c r="AW196" s="8" t="n">
        <v>2</v>
      </c>
      <c r="AX196" s="8" t="n">
        <v>2</v>
      </c>
      <c r="AY196" s="8" t="n">
        <v>3</v>
      </c>
      <c r="AZ196" s="8" t="n">
        <v>2</v>
      </c>
      <c r="BA196" s="8" t="n">
        <v>2</v>
      </c>
      <c r="BB196" s="8" t="n">
        <v>2</v>
      </c>
      <c r="BC196" s="8" t="n">
        <v>2</v>
      </c>
      <c r="BD196" s="8" t="n">
        <v>2</v>
      </c>
      <c r="BE196" s="8" t="n">
        <v>3</v>
      </c>
      <c r="BF196" s="8" t="n">
        <v>2</v>
      </c>
      <c r="BG196" s="8" t="n">
        <v>2</v>
      </c>
      <c r="BH196" s="8" t="n">
        <v>2</v>
      </c>
      <c r="BI196" s="8" t="n">
        <v>2</v>
      </c>
      <c r="BJ196" s="9" t="n">
        <v>10</v>
      </c>
      <c r="BK196" s="9" t="n">
        <v>0</v>
      </c>
      <c r="BL196" s="9" t="n">
        <v>1</v>
      </c>
      <c r="BM196" s="9" t="n">
        <v>1</v>
      </c>
      <c r="BN196" s="10" t="n">
        <v>0.1</v>
      </c>
      <c r="BO196" s="10" t="n">
        <v>0.4</v>
      </c>
      <c r="BP196" s="10" t="n">
        <f aca="false">IF(AND(ISNUMBER(BN196),ISNUMBER(BO196)),BN196+BO196,"")</f>
        <v>0.5</v>
      </c>
      <c r="BQ196" s="10" t="n">
        <v>0.2</v>
      </c>
      <c r="BR196" s="10" t="n">
        <v>0.4</v>
      </c>
      <c r="BS196" s="10" t="n">
        <v>0</v>
      </c>
    </row>
    <row r="197" customFormat="false" ht="15" hidden="false" customHeight="false" outlineLevel="0" collapsed="false">
      <c r="A197" s="8" t="s">
        <v>114</v>
      </c>
      <c r="B197" s="8" t="s">
        <v>122</v>
      </c>
      <c r="C197" s="8" t="n">
        <v>5</v>
      </c>
      <c r="D197" s="9" t="n">
        <v>1383</v>
      </c>
      <c r="E197" s="9" t="n">
        <v>409</v>
      </c>
      <c r="F197" s="8" t="s">
        <v>81</v>
      </c>
      <c r="G197" s="8" t="s">
        <v>74</v>
      </c>
      <c r="H197" s="10" t="n">
        <v>0</v>
      </c>
      <c r="I197" s="10" t="n">
        <v>0.042</v>
      </c>
      <c r="J197" s="10" t="n">
        <v>0.015</v>
      </c>
      <c r="K197" s="8" t="n">
        <v>0</v>
      </c>
      <c r="L197" s="8" t="n">
        <v>10</v>
      </c>
      <c r="M197" s="10" t="n">
        <v>0.015</v>
      </c>
      <c r="N197" s="8" t="n">
        <v>0</v>
      </c>
      <c r="O197" s="9" t="n">
        <v>142</v>
      </c>
      <c r="P197" s="10" t="n">
        <f aca="false">IF(AND(ISNUMBER(O197),ISNUMBER(D197),D197&gt;0),O197/D197,"")</f>
        <v>0.102675343456255</v>
      </c>
      <c r="Q197" s="9" t="n">
        <v>156</v>
      </c>
      <c r="R197" s="9" t="n">
        <v>156</v>
      </c>
      <c r="S197" s="9" t="n">
        <v>2009</v>
      </c>
      <c r="T197" s="11" t="n">
        <f aca="false">IF(AND(ISNUMBER(S197),ISNUMBER(D197),D197&gt;0),S197/D197,"")</f>
        <v>1.45263919016631</v>
      </c>
      <c r="U197" s="10" t="n">
        <v>0.07</v>
      </c>
      <c r="V197" s="10" t="n">
        <v>0.09</v>
      </c>
      <c r="W197" s="10" t="n">
        <v>0.09</v>
      </c>
      <c r="X197" s="10" t="n">
        <v>0.1</v>
      </c>
      <c r="Y197" s="8" t="n">
        <v>0</v>
      </c>
      <c r="Z197" s="8" t="s">
        <v>74</v>
      </c>
      <c r="AA197" s="8" t="n">
        <v>41</v>
      </c>
      <c r="AB197" s="8" t="n">
        <v>1</v>
      </c>
      <c r="AC197" s="11" t="n">
        <f aca="false">IF(AND(ISNUMBER(AA197),ISNUMBER(D197),D197&gt;0),AA197/D197*100,"")</f>
        <v>2.9645697758496</v>
      </c>
      <c r="AD197" s="12" t="n">
        <v>1000</v>
      </c>
      <c r="AE197" s="8" t="s">
        <v>74</v>
      </c>
      <c r="AF197" s="8" t="s">
        <v>77</v>
      </c>
      <c r="AG197" s="12" t="n">
        <v>323.61</v>
      </c>
      <c r="AH197" s="12" t="n">
        <v>374.38</v>
      </c>
      <c r="AI197" s="12" t="n">
        <v>393.1</v>
      </c>
      <c r="AJ197" s="12" t="n">
        <v>412.75</v>
      </c>
      <c r="AK197" s="8" t="n">
        <v>15</v>
      </c>
      <c r="AL197" s="10" t="n">
        <v>0.25</v>
      </c>
      <c r="AM197" s="8" t="s">
        <v>74</v>
      </c>
      <c r="AN197" s="12" t="n">
        <v>22</v>
      </c>
      <c r="AO197" s="8" t="s">
        <v>77</v>
      </c>
      <c r="AP197" s="8" t="s">
        <v>74</v>
      </c>
      <c r="AQ197" s="10" t="n">
        <v>0.9</v>
      </c>
      <c r="AR197" s="8" t="n">
        <v>4</v>
      </c>
      <c r="AS197" s="8" t="n">
        <v>5</v>
      </c>
      <c r="AT197" s="8" t="n">
        <v>1</v>
      </c>
      <c r="AU197" s="8" t="n">
        <v>3</v>
      </c>
      <c r="AV197" s="8" t="n">
        <v>3</v>
      </c>
      <c r="AW197" s="8" t="n">
        <v>3</v>
      </c>
      <c r="AX197" s="8" t="n">
        <v>2</v>
      </c>
      <c r="AY197" s="8" t="n">
        <v>3</v>
      </c>
      <c r="AZ197" s="8" t="n">
        <v>1</v>
      </c>
      <c r="BA197" s="8" t="n">
        <v>2</v>
      </c>
      <c r="BB197" s="8" t="n">
        <v>4</v>
      </c>
      <c r="BC197" s="8" t="n">
        <v>3</v>
      </c>
      <c r="BD197" s="8" t="n">
        <v>4</v>
      </c>
      <c r="BE197" s="8" t="n">
        <v>2</v>
      </c>
      <c r="BF197" s="8" t="n">
        <v>3</v>
      </c>
      <c r="BG197" s="8" t="n">
        <v>1</v>
      </c>
      <c r="BH197" s="8" t="n">
        <v>5</v>
      </c>
      <c r="BI197" s="8" t="n">
        <v>5</v>
      </c>
      <c r="BJ197" s="9" t="n">
        <v>57</v>
      </c>
      <c r="BK197" s="9" t="n">
        <v>63</v>
      </c>
      <c r="BL197" s="9" t="n">
        <v>13</v>
      </c>
      <c r="BM197" s="9" t="n">
        <v>6</v>
      </c>
      <c r="BN197" s="10" t="n">
        <v>0.1</v>
      </c>
      <c r="BO197" s="10" t="n">
        <v>0.3</v>
      </c>
      <c r="BP197" s="10" t="n">
        <f aca="false">IF(AND(ISNUMBER(BN197),ISNUMBER(BO197)),BN197+BO197,"")</f>
        <v>0.4</v>
      </c>
      <c r="BQ197" s="10" t="n">
        <v>0.3</v>
      </c>
      <c r="BR197" s="10" t="n">
        <v>0.2</v>
      </c>
      <c r="BS197" s="10" t="n">
        <v>0.1</v>
      </c>
    </row>
    <row r="198" customFormat="false" ht="15" hidden="false" customHeight="false" outlineLevel="0" collapsed="false">
      <c r="A198" s="8" t="s">
        <v>115</v>
      </c>
      <c r="B198" s="8" t="s">
        <v>122</v>
      </c>
      <c r="C198" s="8" t="n">
        <v>5</v>
      </c>
      <c r="D198" s="9" t="n">
        <v>995</v>
      </c>
      <c r="E198" s="9" t="n">
        <v>500</v>
      </c>
      <c r="F198" s="8" t="s">
        <v>92</v>
      </c>
      <c r="G198" s="8" t="s">
        <v>74</v>
      </c>
      <c r="H198" s="10"/>
      <c r="I198" s="10" t="n">
        <v>0.004</v>
      </c>
      <c r="J198" s="10" t="n">
        <v>0.001</v>
      </c>
      <c r="K198" s="8" t="n">
        <v>0</v>
      </c>
      <c r="L198" s="8" t="n">
        <v>30</v>
      </c>
      <c r="M198" s="10" t="n">
        <v>0.008</v>
      </c>
      <c r="N198" s="8" t="n">
        <v>0</v>
      </c>
      <c r="O198" s="9" t="n">
        <v>15</v>
      </c>
      <c r="P198" s="10" t="n">
        <f aca="false">IF(AND(ISNUMBER(O198),ISNUMBER(D198),D198&gt;0),O198/D198,"")</f>
        <v>0.0150753768844221</v>
      </c>
      <c r="Q198" s="9" t="n">
        <v>10</v>
      </c>
      <c r="R198" s="9" t="n">
        <v>2</v>
      </c>
      <c r="S198" s="9" t="n">
        <v>58</v>
      </c>
      <c r="T198" s="11" t="n">
        <f aca="false">IF(AND(ISNUMBER(S198),ISNUMBER(D198),D198&gt;0),S198/D198,"")</f>
        <v>0.0582914572864322</v>
      </c>
      <c r="U198" s="10" t="n">
        <v>0.07</v>
      </c>
      <c r="V198" s="10" t="n">
        <v>0.13</v>
      </c>
      <c r="W198" s="10" t="n">
        <v>0.115</v>
      </c>
      <c r="X198" s="10" t="n">
        <v>0.08</v>
      </c>
      <c r="Y198" s="8" t="n">
        <v>0</v>
      </c>
      <c r="Z198" s="8" t="s">
        <v>74</v>
      </c>
      <c r="AA198" s="8" t="n">
        <v>1</v>
      </c>
      <c r="AB198" s="8" t="n">
        <v>0</v>
      </c>
      <c r="AC198" s="11" t="n">
        <f aca="false">IF(AND(ISNUMBER(AA198),ISNUMBER(D198),D198&gt;0),AA198/D198*100,"")</f>
        <v>0.100502512562814</v>
      </c>
      <c r="AD198" s="12" t="n">
        <v>0</v>
      </c>
      <c r="AE198" s="8" t="s">
        <v>77</v>
      </c>
      <c r="AF198" s="8" t="s">
        <v>74</v>
      </c>
      <c r="AG198" s="12" t="n">
        <v>326.16</v>
      </c>
      <c r="AH198" s="12" t="n">
        <v>455.5</v>
      </c>
      <c r="AI198" s="12" t="n">
        <v>625.87</v>
      </c>
      <c r="AJ198" s="12" t="n">
        <v>738.66</v>
      </c>
      <c r="AK198" s="8" t="n">
        <v>40</v>
      </c>
      <c r="AL198" s="10" t="n">
        <v>0.95</v>
      </c>
      <c r="AM198" s="8" t="s">
        <v>74</v>
      </c>
      <c r="AN198" s="12" t="n">
        <v>52</v>
      </c>
      <c r="AO198" s="8" t="s">
        <v>74</v>
      </c>
      <c r="AP198" s="8" t="s">
        <v>74</v>
      </c>
      <c r="AQ198" s="10" t="n">
        <v>0.4</v>
      </c>
      <c r="AR198" s="8" t="n">
        <v>3</v>
      </c>
      <c r="AS198" s="8" t="n">
        <v>1</v>
      </c>
      <c r="AT198" s="8" t="n">
        <v>2</v>
      </c>
      <c r="AU198" s="8" t="n">
        <v>2</v>
      </c>
      <c r="AV198" s="8" t="n">
        <v>3</v>
      </c>
      <c r="AW198" s="8" t="n">
        <v>1</v>
      </c>
      <c r="AX198" s="8" t="n">
        <v>1</v>
      </c>
      <c r="AY198" s="8" t="n">
        <v>1</v>
      </c>
      <c r="AZ198" s="8" t="n">
        <v>2</v>
      </c>
      <c r="BA198" s="8" t="n">
        <v>1</v>
      </c>
      <c r="BB198" s="8" t="n">
        <v>1</v>
      </c>
      <c r="BC198" s="8" t="n">
        <v>1</v>
      </c>
      <c r="BD198" s="8" t="n">
        <v>1</v>
      </c>
      <c r="BE198" s="8" t="n">
        <v>1</v>
      </c>
      <c r="BF198" s="8" t="n">
        <v>2</v>
      </c>
      <c r="BG198" s="8" t="n">
        <v>1</v>
      </c>
      <c r="BH198" s="8" t="n">
        <v>1</v>
      </c>
      <c r="BI198" s="8" t="n">
        <v>3</v>
      </c>
      <c r="BJ198" s="9" t="n">
        <v>6</v>
      </c>
      <c r="BK198" s="9" t="n">
        <v>1</v>
      </c>
      <c r="BL198" s="9" t="n">
        <v>2</v>
      </c>
      <c r="BM198" s="9" t="n">
        <v>6</v>
      </c>
      <c r="BN198" s="10" t="n">
        <v>0</v>
      </c>
      <c r="BO198" s="10" t="n">
        <v>0.1</v>
      </c>
      <c r="BP198" s="10" t="n">
        <f aca="false">IF(AND(ISNUMBER(BN198),ISNUMBER(BO198)),BN198+BO198,"")</f>
        <v>0.1</v>
      </c>
      <c r="BQ198" s="10" t="n">
        <v>0.1</v>
      </c>
      <c r="BR198" s="10" t="n">
        <v>0.5</v>
      </c>
      <c r="BS198" s="10" t="n">
        <v>0.3</v>
      </c>
    </row>
    <row r="199" customFormat="false" ht="15" hidden="false" customHeight="false" outlineLevel="0" collapsed="false">
      <c r="A199" s="8" t="s">
        <v>116</v>
      </c>
      <c r="B199" s="8" t="s">
        <v>122</v>
      </c>
      <c r="C199" s="8" t="n">
        <v>5</v>
      </c>
      <c r="D199" s="9" t="n">
        <v>2807</v>
      </c>
      <c r="E199" s="9" t="n">
        <v>683</v>
      </c>
      <c r="F199" s="8" t="s">
        <v>73</v>
      </c>
      <c r="G199" s="8" t="s">
        <v>74</v>
      </c>
      <c r="H199" s="10" t="n">
        <v>0.1</v>
      </c>
      <c r="I199" s="10" t="n">
        <v>0.02</v>
      </c>
      <c r="J199" s="10" t="n">
        <v>0.015</v>
      </c>
      <c r="K199" s="8" t="n">
        <v>0</v>
      </c>
      <c r="L199" s="8" t="n">
        <v>5</v>
      </c>
      <c r="M199" s="10" t="n">
        <v>0.04</v>
      </c>
      <c r="N199" s="8" t="n">
        <v>0</v>
      </c>
      <c r="O199" s="9" t="n">
        <v>462</v>
      </c>
      <c r="P199" s="10" t="n">
        <f aca="false">IF(AND(ISNUMBER(O199),ISNUMBER(D199),D199&gt;0),O199/D199,"")</f>
        <v>0.164588528678304</v>
      </c>
      <c r="Q199" s="9" t="n">
        <v>485</v>
      </c>
      <c r="R199" s="9" t="n">
        <v>352</v>
      </c>
      <c r="S199" s="9" t="n">
        <v>2358</v>
      </c>
      <c r="T199" s="11" t="n">
        <f aca="false">IF(AND(ISNUMBER(S199),ISNUMBER(D199),D199&gt;0),S199/D199,"")</f>
        <v>0.840042750267189</v>
      </c>
      <c r="U199" s="10" t="n">
        <v>0.06</v>
      </c>
      <c r="V199" s="10" t="n">
        <v>0.1</v>
      </c>
      <c r="W199" s="10" t="n">
        <v>0.06</v>
      </c>
      <c r="X199" s="10"/>
      <c r="Y199" s="8" t="n">
        <v>0</v>
      </c>
      <c r="Z199" s="8" t="s">
        <v>74</v>
      </c>
      <c r="AA199" s="8" t="n">
        <v>41</v>
      </c>
      <c r="AB199" s="8" t="n">
        <v>1</v>
      </c>
      <c r="AC199" s="11" t="n">
        <f aca="false">IF(AND(ISNUMBER(AA199),ISNUMBER(D199),D199&gt;0),AA199/D199*100,"")</f>
        <v>1.46063412896331</v>
      </c>
      <c r="AD199" s="12" t="n">
        <v>580</v>
      </c>
      <c r="AE199" s="8" t="s">
        <v>74</v>
      </c>
      <c r="AF199" s="8" t="s">
        <v>77</v>
      </c>
      <c r="AG199" s="12" t="n">
        <v>349</v>
      </c>
      <c r="AH199" s="12" t="n">
        <v>349</v>
      </c>
      <c r="AI199" s="12" t="n">
        <v>358</v>
      </c>
      <c r="AJ199" s="12" t="n">
        <v>367</v>
      </c>
      <c r="AK199" s="8" t="n">
        <v>20</v>
      </c>
      <c r="AL199" s="10" t="n">
        <v>0.6</v>
      </c>
      <c r="AM199" s="8" t="s">
        <v>77</v>
      </c>
      <c r="AN199" s="12"/>
      <c r="AO199" s="8" t="s">
        <v>74</v>
      </c>
      <c r="AP199" s="8" t="s">
        <v>74</v>
      </c>
      <c r="AQ199" s="10" t="n">
        <v>0.9</v>
      </c>
      <c r="AR199" s="8" t="n">
        <v>3</v>
      </c>
      <c r="AS199" s="8" t="n">
        <v>3</v>
      </c>
      <c r="AT199" s="8"/>
      <c r="AU199" s="8"/>
      <c r="AV199" s="8"/>
      <c r="AW199" s="8"/>
      <c r="AX199" s="8"/>
      <c r="AY199" s="8"/>
      <c r="AZ199" s="8"/>
      <c r="BA199" s="8" t="n">
        <v>3</v>
      </c>
      <c r="BB199" s="8"/>
      <c r="BC199" s="8"/>
      <c r="BD199" s="8"/>
      <c r="BE199" s="8"/>
      <c r="BF199" s="8"/>
      <c r="BG199" s="8"/>
      <c r="BH199" s="8" t="n">
        <v>3</v>
      </c>
      <c r="BI199" s="8" t="n">
        <v>3</v>
      </c>
      <c r="BJ199" s="9" t="n">
        <v>203</v>
      </c>
      <c r="BK199" s="9" t="n">
        <v>108</v>
      </c>
      <c r="BL199" s="9" t="n">
        <v>0</v>
      </c>
      <c r="BM199" s="9" t="n">
        <v>129</v>
      </c>
      <c r="BN199" s="10" t="n">
        <v>0.3</v>
      </c>
      <c r="BO199" s="10" t="n">
        <v>0.3</v>
      </c>
      <c r="BP199" s="10" t="n">
        <f aca="false">IF(AND(ISNUMBER(BN199),ISNUMBER(BO199)),BN199+BO199,"")</f>
        <v>0.6</v>
      </c>
      <c r="BQ199" s="10" t="n">
        <v>0.2</v>
      </c>
      <c r="BR199" s="10" t="n">
        <v>0.1</v>
      </c>
      <c r="BS199" s="10" t="n">
        <v>0.1</v>
      </c>
    </row>
    <row r="200" customFormat="false" ht="15" hidden="false" customHeight="false" outlineLevel="0" collapsed="false">
      <c r="A200" s="8" t="s">
        <v>117</v>
      </c>
      <c r="B200" s="8" t="s">
        <v>122</v>
      </c>
      <c r="C200" s="8" t="n">
        <v>5</v>
      </c>
      <c r="D200" s="9" t="n">
        <v>1195</v>
      </c>
      <c r="E200" s="9" t="n">
        <v>340</v>
      </c>
      <c r="F200" s="8" t="s">
        <v>92</v>
      </c>
      <c r="G200" s="8" t="s">
        <v>74</v>
      </c>
      <c r="H200" s="10" t="n">
        <v>0.7</v>
      </c>
      <c r="I200" s="10" t="n">
        <v>0.113</v>
      </c>
      <c r="J200" s="10" t="n">
        <v>0.035</v>
      </c>
      <c r="K200" s="8" t="n">
        <v>0</v>
      </c>
      <c r="L200" s="8" t="n">
        <v>7</v>
      </c>
      <c r="M200" s="10" t="n">
        <v>0.12</v>
      </c>
      <c r="N200" s="8" t="n">
        <v>0</v>
      </c>
      <c r="O200" s="9" t="n">
        <v>138</v>
      </c>
      <c r="P200" s="10" t="n">
        <f aca="false">IF(AND(ISNUMBER(O200),ISNUMBER(D200),D200&gt;0),O200/D200,"")</f>
        <v>0.115481171548117</v>
      </c>
      <c r="Q200" s="9" t="n">
        <v>138</v>
      </c>
      <c r="R200" s="9" t="n">
        <v>108</v>
      </c>
      <c r="S200" s="9" t="n">
        <v>2040</v>
      </c>
      <c r="T200" s="11" t="n">
        <f aca="false">IF(AND(ISNUMBER(S200),ISNUMBER(D200),D200&gt;0),S200/D200,"")</f>
        <v>1.7071129707113</v>
      </c>
      <c r="U200" s="10" t="n">
        <v>0.058</v>
      </c>
      <c r="V200" s="10" t="n">
        <v>0.095</v>
      </c>
      <c r="W200" s="10" t="n">
        <v>0.11</v>
      </c>
      <c r="X200" s="10" t="n">
        <v>0.065</v>
      </c>
      <c r="Y200" s="8" t="n">
        <v>0</v>
      </c>
      <c r="Z200" s="8" t="s">
        <v>74</v>
      </c>
      <c r="AA200" s="8" t="n">
        <v>22</v>
      </c>
      <c r="AB200" s="8" t="n">
        <v>0</v>
      </c>
      <c r="AC200" s="11" t="n">
        <f aca="false">IF(AND(ISNUMBER(AA200),ISNUMBER(D200),D200&gt;0),AA200/D200*100,"")</f>
        <v>1.84100418410042</v>
      </c>
      <c r="AD200" s="12" t="n">
        <v>4355</v>
      </c>
      <c r="AE200" s="8" t="s">
        <v>74</v>
      </c>
      <c r="AF200" s="8" t="s">
        <v>77</v>
      </c>
      <c r="AG200" s="12" t="n">
        <v>322.12</v>
      </c>
      <c r="AH200" s="12" t="n">
        <v>363.25</v>
      </c>
      <c r="AI200" s="12" t="n">
        <v>439.61</v>
      </c>
      <c r="AJ200" s="12" t="n">
        <v>540.94</v>
      </c>
      <c r="AK200" s="8" t="n">
        <v>26</v>
      </c>
      <c r="AL200" s="10" t="n">
        <v>0.7</v>
      </c>
      <c r="AM200" s="8" t="s">
        <v>74</v>
      </c>
      <c r="AN200" s="12" t="n">
        <v>46</v>
      </c>
      <c r="AO200" s="8" t="s">
        <v>77</v>
      </c>
      <c r="AP200" s="8" t="s">
        <v>74</v>
      </c>
      <c r="AQ200" s="10" t="n">
        <v>0.97</v>
      </c>
      <c r="AR200" s="8" t="n">
        <v>4</v>
      </c>
      <c r="AS200" s="8" t="n">
        <v>0</v>
      </c>
      <c r="AT200" s="8" t="n">
        <v>1</v>
      </c>
      <c r="AU200" s="8" t="n">
        <v>3</v>
      </c>
      <c r="AV200" s="8" t="n">
        <v>2</v>
      </c>
      <c r="AW200" s="8" t="n">
        <v>1</v>
      </c>
      <c r="AX200" s="8" t="n">
        <v>1</v>
      </c>
      <c r="AY200" s="8" t="n">
        <v>2</v>
      </c>
      <c r="AZ200" s="8" t="n">
        <v>1</v>
      </c>
      <c r="BA200" s="8" t="n">
        <v>1</v>
      </c>
      <c r="BB200" s="8" t="n">
        <v>4</v>
      </c>
      <c r="BC200" s="8" t="n">
        <v>4</v>
      </c>
      <c r="BD200" s="8" t="n">
        <v>3</v>
      </c>
      <c r="BE200" s="8" t="n">
        <v>2</v>
      </c>
      <c r="BF200" s="8" t="n">
        <v>2</v>
      </c>
      <c r="BG200" s="8" t="n">
        <v>1</v>
      </c>
      <c r="BH200" s="8" t="n">
        <v>3</v>
      </c>
      <c r="BI200" s="8" t="n">
        <v>5</v>
      </c>
      <c r="BJ200" s="9" t="n">
        <v>58</v>
      </c>
      <c r="BK200" s="9" t="n">
        <v>80</v>
      </c>
      <c r="BL200" s="9"/>
      <c r="BM200" s="9" t="n">
        <v>16</v>
      </c>
      <c r="BN200" s="10" t="n">
        <v>0</v>
      </c>
      <c r="BO200" s="10" t="n">
        <v>0.5</v>
      </c>
      <c r="BP200" s="10" t="n">
        <f aca="false">IF(AND(ISNUMBER(BN200),ISNUMBER(BO200)),BN200+BO200,"")</f>
        <v>0.5</v>
      </c>
      <c r="BQ200" s="10" t="n">
        <v>0.3</v>
      </c>
      <c r="BR200" s="10" t="n">
        <v>0.1</v>
      </c>
      <c r="BS200" s="10" t="n">
        <v>0.1</v>
      </c>
    </row>
    <row r="201" customFormat="false" ht="15" hidden="false" customHeight="false" outlineLevel="0" collapsed="false">
      <c r="A201" s="8" t="s">
        <v>118</v>
      </c>
      <c r="B201" s="8" t="s">
        <v>122</v>
      </c>
      <c r="C201" s="8" t="n">
        <v>5</v>
      </c>
      <c r="D201" s="9" t="n">
        <v>332</v>
      </c>
      <c r="E201" s="9" t="n">
        <v>97</v>
      </c>
      <c r="F201" s="8" t="s">
        <v>73</v>
      </c>
      <c r="G201" s="8" t="s">
        <v>74</v>
      </c>
      <c r="H201" s="10" t="n">
        <v>0.1</v>
      </c>
      <c r="I201" s="10" t="n">
        <v>0.007</v>
      </c>
      <c r="J201" s="10"/>
      <c r="K201" s="8" t="n">
        <v>0</v>
      </c>
      <c r="L201" s="8"/>
      <c r="M201" s="10" t="n">
        <v>0.004</v>
      </c>
      <c r="N201" s="8" t="n">
        <v>0</v>
      </c>
      <c r="O201" s="9" t="n">
        <v>3</v>
      </c>
      <c r="P201" s="10" t="n">
        <f aca="false">IF(AND(ISNUMBER(O201),ISNUMBER(D201),D201&gt;0),O201/D201,"")</f>
        <v>0.00903614457831325</v>
      </c>
      <c r="Q201" s="9" t="n">
        <v>4</v>
      </c>
      <c r="R201" s="9" t="n">
        <v>4</v>
      </c>
      <c r="S201" s="9" t="n">
        <v>11</v>
      </c>
      <c r="T201" s="11" t="n">
        <f aca="false">IF(AND(ISNUMBER(S201),ISNUMBER(D201),D201&gt;0),S201/D201,"")</f>
        <v>0.0331325301204819</v>
      </c>
      <c r="U201" s="10" t="n">
        <v>0.065</v>
      </c>
      <c r="V201" s="10" t="n">
        <v>0.12</v>
      </c>
      <c r="W201" s="10" t="n">
        <v>0.095</v>
      </c>
      <c r="X201" s="10"/>
      <c r="Y201" s="8" t="n">
        <v>0</v>
      </c>
      <c r="Z201" s="8" t="s">
        <v>74</v>
      </c>
      <c r="AA201" s="8" t="n">
        <v>24</v>
      </c>
      <c r="AB201" s="8" t="n">
        <v>0</v>
      </c>
      <c r="AC201" s="11" t="n">
        <f aca="false">IF(AND(ISNUMBER(AA201),ISNUMBER(D201),D201&gt;0),AA201/D201*100,"")</f>
        <v>7.2289156626506</v>
      </c>
      <c r="AD201" s="12" t="n">
        <v>0</v>
      </c>
      <c r="AE201" s="8" t="s">
        <v>77</v>
      </c>
      <c r="AF201" s="8" t="s">
        <v>77</v>
      </c>
      <c r="AG201" s="12" t="n">
        <v>373</v>
      </c>
      <c r="AH201" s="12" t="n">
        <v>393</v>
      </c>
      <c r="AI201" s="12" t="n">
        <v>465</v>
      </c>
      <c r="AJ201" s="12" t="n">
        <v>560</v>
      </c>
      <c r="AK201" s="8" t="n">
        <v>23</v>
      </c>
      <c r="AL201" s="10" t="n">
        <v>0.7</v>
      </c>
      <c r="AM201" s="8" t="s">
        <v>74</v>
      </c>
      <c r="AN201" s="12" t="n">
        <v>34</v>
      </c>
      <c r="AO201" s="8" t="s">
        <v>77</v>
      </c>
      <c r="AP201" s="8" t="s">
        <v>74</v>
      </c>
      <c r="AQ201" s="10" t="n">
        <v>0.8</v>
      </c>
      <c r="AR201" s="8" t="n">
        <v>2</v>
      </c>
      <c r="AS201" s="8" t="n">
        <v>1</v>
      </c>
      <c r="AT201" s="8" t="n">
        <v>1</v>
      </c>
      <c r="AU201" s="8" t="n">
        <v>2</v>
      </c>
      <c r="AV201" s="8" t="n">
        <v>3</v>
      </c>
      <c r="AW201" s="8" t="n">
        <v>2</v>
      </c>
      <c r="AX201" s="8" t="n">
        <v>1</v>
      </c>
      <c r="AY201" s="8" t="n">
        <v>1</v>
      </c>
      <c r="AZ201" s="8" t="n">
        <v>1</v>
      </c>
      <c r="BA201" s="8" t="n">
        <v>1</v>
      </c>
      <c r="BB201" s="8" t="n">
        <v>3</v>
      </c>
      <c r="BC201" s="8" t="n">
        <v>2</v>
      </c>
      <c r="BD201" s="8" t="n">
        <v>1</v>
      </c>
      <c r="BE201" s="8" t="n">
        <v>1</v>
      </c>
      <c r="BF201" s="8" t="n">
        <v>2</v>
      </c>
      <c r="BG201" s="8" t="n">
        <v>2</v>
      </c>
      <c r="BH201" s="8" t="n">
        <v>3</v>
      </c>
      <c r="BI201" s="8" t="n">
        <v>1</v>
      </c>
      <c r="BJ201" s="9" t="n">
        <v>4</v>
      </c>
      <c r="BK201" s="9"/>
      <c r="BL201" s="9"/>
      <c r="BM201" s="9" t="n">
        <v>1</v>
      </c>
      <c r="BN201" s="10"/>
      <c r="BO201" s="10"/>
      <c r="BP201" s="10" t="str">
        <f aca="false">IF(AND(ISNUMBER(BN201),ISNUMBER(BO201)),BN201+BO201,"")</f>
        <v/>
      </c>
      <c r="BQ201" s="10"/>
      <c r="BR201" s="10"/>
      <c r="BS201" s="10"/>
    </row>
    <row r="202" customFormat="false" ht="15" hidden="false" customHeight="false" outlineLevel="0" collapsed="false">
      <c r="A202" s="8" t="s">
        <v>71</v>
      </c>
      <c r="B202" s="8" t="s">
        <v>123</v>
      </c>
      <c r="C202" s="8" t="n">
        <v>6</v>
      </c>
      <c r="D202" s="9" t="n">
        <v>156</v>
      </c>
      <c r="E202" s="9" t="n">
        <v>24</v>
      </c>
      <c r="F202" s="8" t="s">
        <v>73</v>
      </c>
      <c r="G202" s="8" t="s">
        <v>77</v>
      </c>
      <c r="H202" s="10" t="n">
        <v>0.7</v>
      </c>
      <c r="I202" s="10" t="n">
        <v>0.04</v>
      </c>
      <c r="J202" s="10" t="n">
        <v>0.01</v>
      </c>
      <c r="K202" s="8" t="n">
        <v>0</v>
      </c>
      <c r="L202" s="8" t="n">
        <v>15</v>
      </c>
      <c r="M202" s="10" t="n">
        <v>0.018</v>
      </c>
      <c r="N202" s="8" t="n">
        <v>0</v>
      </c>
      <c r="O202" s="9" t="n">
        <v>18</v>
      </c>
      <c r="P202" s="10" t="n">
        <f aca="false">IF(AND(ISNUMBER(O202),ISNUMBER(D202),D202&gt;0),O202/D202,"")</f>
        <v>0.115384615384615</v>
      </c>
      <c r="Q202" s="9" t="n">
        <v>6</v>
      </c>
      <c r="R202" s="9" t="n">
        <v>6</v>
      </c>
      <c r="S202" s="9" t="n">
        <v>18</v>
      </c>
      <c r="T202" s="11" t="n">
        <f aca="false">IF(AND(ISNUMBER(S202),ISNUMBER(D202),D202&gt;0),S202/D202,"")</f>
        <v>0.115384615384615</v>
      </c>
      <c r="U202" s="10" t="n">
        <v>0.097</v>
      </c>
      <c r="V202" s="10" t="n">
        <v>0.15</v>
      </c>
      <c r="W202" s="10" t="n">
        <v>0.08</v>
      </c>
      <c r="X202" s="10" t="n">
        <v>0.1</v>
      </c>
      <c r="Y202" s="8" t="n">
        <v>0</v>
      </c>
      <c r="Z202" s="8" t="s">
        <v>74</v>
      </c>
      <c r="AA202" s="8" t="n">
        <v>15</v>
      </c>
      <c r="AB202" s="8" t="n">
        <v>0</v>
      </c>
      <c r="AC202" s="11" t="n">
        <f aca="false">IF(AND(ISNUMBER(AA202),ISNUMBER(D202),D202&gt;0),AA202/D202*100,"")</f>
        <v>9.61538461538462</v>
      </c>
      <c r="AD202" s="12" t="n">
        <v>3600</v>
      </c>
      <c r="AE202" s="8" t="s">
        <v>74</v>
      </c>
      <c r="AF202" s="8" t="s">
        <v>74</v>
      </c>
      <c r="AG202" s="12" t="n">
        <v>278.8</v>
      </c>
      <c r="AH202" s="12" t="n">
        <v>278.8</v>
      </c>
      <c r="AI202" s="12" t="n">
        <v>304.4</v>
      </c>
      <c r="AJ202" s="12" t="n">
        <v>329.73</v>
      </c>
      <c r="AK202" s="8" t="n">
        <v>16</v>
      </c>
      <c r="AL202" s="10" t="n">
        <v>0.25</v>
      </c>
      <c r="AM202" s="8" t="s">
        <v>74</v>
      </c>
      <c r="AN202" s="12" t="n">
        <v>32</v>
      </c>
      <c r="AO202" s="8" t="s">
        <v>74</v>
      </c>
      <c r="AP202" s="8" t="s">
        <v>74</v>
      </c>
      <c r="AQ202" s="10" t="n">
        <v>0.8</v>
      </c>
      <c r="AR202" s="8" t="n">
        <v>5</v>
      </c>
      <c r="AS202" s="8" t="n">
        <v>3</v>
      </c>
      <c r="AT202" s="8" t="n">
        <v>0</v>
      </c>
      <c r="AU202" s="8" t="n">
        <v>0</v>
      </c>
      <c r="AV202" s="8" t="n">
        <v>0</v>
      </c>
      <c r="AW202" s="8" t="n">
        <v>3</v>
      </c>
      <c r="AX202" s="8" t="n">
        <v>2</v>
      </c>
      <c r="AY202" s="8" t="n">
        <v>2</v>
      </c>
      <c r="AZ202" s="8" t="n">
        <v>4</v>
      </c>
      <c r="BA202" s="8" t="n">
        <v>4</v>
      </c>
      <c r="BB202" s="8" t="n">
        <v>3</v>
      </c>
      <c r="BC202" s="8" t="n">
        <v>5</v>
      </c>
      <c r="BD202" s="8" t="n">
        <v>4</v>
      </c>
      <c r="BE202" s="8" t="n">
        <v>4</v>
      </c>
      <c r="BF202" s="8" t="n">
        <v>4</v>
      </c>
      <c r="BG202" s="8" t="n">
        <v>0</v>
      </c>
      <c r="BH202" s="8" t="n">
        <v>5</v>
      </c>
      <c r="BI202" s="8" t="n">
        <v>5</v>
      </c>
      <c r="BJ202" s="9" t="n">
        <v>2</v>
      </c>
      <c r="BK202" s="9" t="n">
        <v>1</v>
      </c>
      <c r="BL202" s="9" t="n">
        <v>2</v>
      </c>
      <c r="BM202" s="9" t="n">
        <v>12</v>
      </c>
      <c r="BN202" s="10" t="n">
        <v>0.2</v>
      </c>
      <c r="BO202" s="10" t="n">
        <v>0.3</v>
      </c>
      <c r="BP202" s="10" t="n">
        <f aca="false">IF(AND(ISNUMBER(BN202),ISNUMBER(BO202)),BN202+BO202,"")</f>
        <v>0.5</v>
      </c>
      <c r="BQ202" s="10" t="n">
        <v>0.3</v>
      </c>
      <c r="BR202" s="10" t="n">
        <v>0.2</v>
      </c>
      <c r="BS202" s="10" t="n">
        <v>0</v>
      </c>
    </row>
    <row r="203" customFormat="false" ht="15" hidden="false" customHeight="false" outlineLevel="0" collapsed="false">
      <c r="A203" s="8" t="s">
        <v>75</v>
      </c>
      <c r="B203" s="8" t="s">
        <v>123</v>
      </c>
      <c r="C203" s="8" t="n">
        <v>6</v>
      </c>
      <c r="D203" s="9" t="n">
        <v>235</v>
      </c>
      <c r="E203" s="9" t="n">
        <v>129</v>
      </c>
      <c r="F203" s="8" t="s">
        <v>76</v>
      </c>
      <c r="G203" s="8" t="s">
        <v>74</v>
      </c>
      <c r="H203" s="10" t="n">
        <v>0.8</v>
      </c>
      <c r="I203" s="10" t="n">
        <v>0.01</v>
      </c>
      <c r="J203" s="10" t="n">
        <v>0.01</v>
      </c>
      <c r="K203" s="8" t="n">
        <v>0</v>
      </c>
      <c r="L203" s="8"/>
      <c r="M203" s="10" t="n">
        <v>0.015</v>
      </c>
      <c r="N203" s="8" t="n">
        <v>0</v>
      </c>
      <c r="O203" s="9" t="n">
        <v>8</v>
      </c>
      <c r="P203" s="10" t="n">
        <f aca="false">IF(AND(ISNUMBER(O203),ISNUMBER(D203),D203&gt;0),O203/D203,"")</f>
        <v>0.0340425531914894</v>
      </c>
      <c r="Q203" s="9"/>
      <c r="R203" s="9" t="n">
        <v>1</v>
      </c>
      <c r="S203" s="9" t="n">
        <v>14</v>
      </c>
      <c r="T203" s="11" t="n">
        <f aca="false">IF(AND(ISNUMBER(S203),ISNUMBER(D203),D203&gt;0),S203/D203,"")</f>
        <v>0.0595744680851064</v>
      </c>
      <c r="U203" s="10" t="n">
        <v>0.08</v>
      </c>
      <c r="V203" s="10" t="n">
        <v>0.11</v>
      </c>
      <c r="W203" s="10" t="n">
        <v>0.085</v>
      </c>
      <c r="X203" s="10" t="n">
        <v>0.03</v>
      </c>
      <c r="Y203" s="8" t="n">
        <v>0</v>
      </c>
      <c r="Z203" s="8" t="s">
        <v>74</v>
      </c>
      <c r="AA203" s="8" t="n">
        <v>22</v>
      </c>
      <c r="AB203" s="8" t="n">
        <v>0</v>
      </c>
      <c r="AC203" s="11" t="n">
        <f aca="false">IF(AND(ISNUMBER(AA203),ISNUMBER(D203),D203&gt;0),AA203/D203*100,"")</f>
        <v>9.36170212765958</v>
      </c>
      <c r="AD203" s="12" t="n">
        <v>2800</v>
      </c>
      <c r="AE203" s="8" t="s">
        <v>74</v>
      </c>
      <c r="AF203" s="8" t="s">
        <v>77</v>
      </c>
      <c r="AG203" s="12" t="n">
        <v>375</v>
      </c>
      <c r="AH203" s="12" t="n">
        <v>432</v>
      </c>
      <c r="AI203" s="12" t="n">
        <v>491</v>
      </c>
      <c r="AJ203" s="12" t="n">
        <v>740</v>
      </c>
      <c r="AK203" s="8" t="n">
        <v>20</v>
      </c>
      <c r="AL203" s="10" t="n">
        <v>1.5</v>
      </c>
      <c r="AM203" s="8" t="s">
        <v>74</v>
      </c>
      <c r="AN203" s="12" t="n">
        <v>29</v>
      </c>
      <c r="AO203" s="8" t="s">
        <v>77</v>
      </c>
      <c r="AP203" s="8" t="s">
        <v>74</v>
      </c>
      <c r="AQ203" s="10" t="n">
        <v>0.8</v>
      </c>
      <c r="AR203" s="8" t="n">
        <v>2</v>
      </c>
      <c r="AS203" s="8" t="n">
        <v>1</v>
      </c>
      <c r="AT203" s="8" t="n">
        <v>1</v>
      </c>
      <c r="AU203" s="8" t="n">
        <v>1</v>
      </c>
      <c r="AV203" s="8" t="n">
        <v>0</v>
      </c>
      <c r="AW203" s="8" t="n">
        <v>0</v>
      </c>
      <c r="AX203" s="8" t="n">
        <v>1</v>
      </c>
      <c r="AY203" s="8" t="n">
        <v>2</v>
      </c>
      <c r="AZ203" s="8" t="n">
        <v>2</v>
      </c>
      <c r="BA203" s="8" t="n">
        <v>2</v>
      </c>
      <c r="BB203" s="8" t="n">
        <v>1</v>
      </c>
      <c r="BC203" s="8" t="n">
        <v>1</v>
      </c>
      <c r="BD203" s="8" t="n">
        <v>0</v>
      </c>
      <c r="BE203" s="8" t="n">
        <v>1</v>
      </c>
      <c r="BF203" s="8" t="n">
        <v>1</v>
      </c>
      <c r="BG203" s="8" t="n">
        <v>0</v>
      </c>
      <c r="BH203" s="8" t="n">
        <v>1</v>
      </c>
      <c r="BI203" s="8" t="n">
        <v>2</v>
      </c>
      <c r="BJ203" s="9" t="n">
        <v>4</v>
      </c>
      <c r="BK203" s="9" t="n">
        <v>0</v>
      </c>
      <c r="BL203" s="9" t="n">
        <v>0</v>
      </c>
      <c r="BM203" s="9" t="n">
        <v>6</v>
      </c>
      <c r="BN203" s="10" t="n">
        <v>0.1</v>
      </c>
      <c r="BO203" s="10" t="n">
        <v>0.1</v>
      </c>
      <c r="BP203" s="10" t="n">
        <f aca="false">IF(AND(ISNUMBER(BN203),ISNUMBER(BO203)),BN203+BO203,"")</f>
        <v>0.2</v>
      </c>
      <c r="BQ203" s="10" t="n">
        <v>0.3</v>
      </c>
      <c r="BR203" s="10" t="n">
        <v>0.3</v>
      </c>
      <c r="BS203" s="10" t="n">
        <v>0.2</v>
      </c>
    </row>
    <row r="204" customFormat="false" ht="15" hidden="false" customHeight="false" outlineLevel="0" collapsed="false">
      <c r="A204" s="8" t="s">
        <v>78</v>
      </c>
      <c r="B204" s="8" t="s">
        <v>123</v>
      </c>
      <c r="C204" s="8" t="n">
        <v>6</v>
      </c>
      <c r="D204" s="9" t="n">
        <v>74</v>
      </c>
      <c r="E204" s="9" t="n">
        <v>57</v>
      </c>
      <c r="F204" s="8" t="s">
        <v>73</v>
      </c>
      <c r="G204" s="8" t="s">
        <v>74</v>
      </c>
      <c r="H204" s="10" t="n">
        <v>0</v>
      </c>
      <c r="I204" s="10" t="n">
        <v>0.002</v>
      </c>
      <c r="J204" s="10" t="n">
        <v>0.015</v>
      </c>
      <c r="K204" s="8" t="n">
        <v>0</v>
      </c>
      <c r="L204" s="8" t="n">
        <v>15</v>
      </c>
      <c r="M204" s="10" t="n">
        <v>0.008</v>
      </c>
      <c r="N204" s="8" t="n">
        <v>0</v>
      </c>
      <c r="O204" s="9" t="n">
        <v>3</v>
      </c>
      <c r="P204" s="10" t="n">
        <f aca="false">IF(AND(ISNUMBER(O204),ISNUMBER(D204),D204&gt;0),O204/D204,"")</f>
        <v>0.0405405405405405</v>
      </c>
      <c r="Q204" s="9" t="n">
        <v>3</v>
      </c>
      <c r="R204" s="9" t="n">
        <v>0</v>
      </c>
      <c r="S204" s="9" t="n">
        <v>107</v>
      </c>
      <c r="T204" s="11" t="n">
        <f aca="false">IF(AND(ISNUMBER(S204),ISNUMBER(D204),D204&gt;0),S204/D204,"")</f>
        <v>1.44594594594595</v>
      </c>
      <c r="U204" s="10" t="n">
        <v>0.1</v>
      </c>
      <c r="V204" s="10" t="n">
        <v>0.105</v>
      </c>
      <c r="W204" s="10" t="n">
        <v>0.095</v>
      </c>
      <c r="X204" s="10" t="n">
        <v>0.175</v>
      </c>
      <c r="Y204" s="8" t="n">
        <v>0</v>
      </c>
      <c r="Z204" s="8" t="s">
        <v>74</v>
      </c>
      <c r="AA204" s="8" t="n">
        <v>5</v>
      </c>
      <c r="AB204" s="8" t="n">
        <v>0</v>
      </c>
      <c r="AC204" s="11" t="n">
        <f aca="false">IF(AND(ISNUMBER(AA204),ISNUMBER(D204),D204&gt;0),AA204/D204*100,"")</f>
        <v>6.75675675675676</v>
      </c>
      <c r="AD204" s="12" t="n">
        <v>1970</v>
      </c>
      <c r="AE204" s="8" t="s">
        <v>74</v>
      </c>
      <c r="AF204" s="8" t="s">
        <v>74</v>
      </c>
      <c r="AG204" s="12" t="n">
        <v>370</v>
      </c>
      <c r="AH204" s="12" t="n">
        <v>396</v>
      </c>
      <c r="AI204" s="12" t="n">
        <v>430</v>
      </c>
      <c r="AJ204" s="12" t="n">
        <v>641</v>
      </c>
      <c r="AK204" s="8" t="n">
        <v>24</v>
      </c>
      <c r="AL204" s="10" t="n">
        <v>0.45</v>
      </c>
      <c r="AM204" s="8" t="s">
        <v>74</v>
      </c>
      <c r="AN204" s="12" t="n">
        <v>42</v>
      </c>
      <c r="AO204" s="8" t="s">
        <v>77</v>
      </c>
      <c r="AP204" s="8" t="s">
        <v>74</v>
      </c>
      <c r="AQ204" s="10" t="n">
        <v>0.9</v>
      </c>
      <c r="AR204" s="8" t="n">
        <v>1</v>
      </c>
      <c r="AS204" s="8" t="n">
        <v>0</v>
      </c>
      <c r="AT204" s="8" t="n">
        <v>0</v>
      </c>
      <c r="AU204" s="8" t="n">
        <v>1</v>
      </c>
      <c r="AV204" s="8" t="n">
        <v>0</v>
      </c>
      <c r="AW204" s="8" t="n">
        <v>0</v>
      </c>
      <c r="AX204" s="8" t="n">
        <v>0</v>
      </c>
      <c r="AY204" s="8" t="n">
        <v>1</v>
      </c>
      <c r="AZ204" s="8" t="n">
        <v>1</v>
      </c>
      <c r="BA204" s="8" t="n">
        <v>1</v>
      </c>
      <c r="BB204" s="8" t="n">
        <v>1</v>
      </c>
      <c r="BC204" s="8" t="n">
        <v>1</v>
      </c>
      <c r="BD204" s="8" t="n">
        <v>1</v>
      </c>
      <c r="BE204" s="8" t="n">
        <v>0</v>
      </c>
      <c r="BF204" s="8" t="n">
        <v>1</v>
      </c>
      <c r="BG204" s="8" t="n">
        <v>0</v>
      </c>
      <c r="BH204" s="8" t="n">
        <v>1</v>
      </c>
      <c r="BI204" s="8" t="n">
        <v>3</v>
      </c>
      <c r="BJ204" s="9" t="n">
        <v>1</v>
      </c>
      <c r="BK204" s="9" t="n">
        <v>0</v>
      </c>
      <c r="BL204" s="9" t="n">
        <v>0</v>
      </c>
      <c r="BM204" s="9" t="n">
        <v>4</v>
      </c>
      <c r="BN204" s="10" t="n">
        <v>0</v>
      </c>
      <c r="BO204" s="10" t="n">
        <v>0</v>
      </c>
      <c r="BP204" s="10" t="n">
        <f aca="false">IF(AND(ISNUMBER(BN204),ISNUMBER(BO204)),BN204+BO204,"")</f>
        <v>0</v>
      </c>
      <c r="BQ204" s="10" t="n">
        <v>0</v>
      </c>
      <c r="BR204" s="10" t="n">
        <v>0.9</v>
      </c>
      <c r="BS204" s="10" t="n">
        <v>0.1</v>
      </c>
    </row>
    <row r="205" customFormat="false" ht="15" hidden="false" customHeight="false" outlineLevel="0" collapsed="false">
      <c r="A205" s="8" t="s">
        <v>79</v>
      </c>
      <c r="B205" s="8" t="s">
        <v>123</v>
      </c>
      <c r="C205" s="8" t="n">
        <v>6</v>
      </c>
      <c r="D205" s="9" t="n">
        <v>8</v>
      </c>
      <c r="E205" s="9" t="n">
        <v>16</v>
      </c>
      <c r="F205" s="8" t="s">
        <v>73</v>
      </c>
      <c r="G205" s="8" t="s">
        <v>77</v>
      </c>
      <c r="H205" s="10" t="n">
        <v>0</v>
      </c>
      <c r="I205" s="10" t="n">
        <v>0.15</v>
      </c>
      <c r="J205" s="10" t="n">
        <v>0.15</v>
      </c>
      <c r="K205" s="8" t="n">
        <v>1</v>
      </c>
      <c r="L205" s="8" t="n">
        <v>15</v>
      </c>
      <c r="M205" s="10"/>
      <c r="N205" s="8" t="n">
        <v>0</v>
      </c>
      <c r="O205" s="9" t="n">
        <v>0</v>
      </c>
      <c r="P205" s="10" t="n">
        <f aca="false">IF(AND(ISNUMBER(O205),ISNUMBER(D205),D205&gt;0),O205/D205,"")</f>
        <v>0</v>
      </c>
      <c r="Q205" s="9" t="n">
        <v>0</v>
      </c>
      <c r="R205" s="9" t="n">
        <v>0</v>
      </c>
      <c r="S205" s="9" t="n">
        <v>0</v>
      </c>
      <c r="T205" s="11" t="n">
        <f aca="false">IF(AND(ISNUMBER(S205),ISNUMBER(D205),D205&gt;0),S205/D205,"")</f>
        <v>0</v>
      </c>
      <c r="U205" s="10" t="n">
        <v>0.045</v>
      </c>
      <c r="V205" s="10" t="n">
        <v>0.09</v>
      </c>
      <c r="W205" s="10" t="n">
        <v>0.03</v>
      </c>
      <c r="X205" s="10"/>
      <c r="Y205" s="8" t="n">
        <v>0</v>
      </c>
      <c r="Z205" s="8" t="s">
        <v>77</v>
      </c>
      <c r="AA205" s="8" t="n">
        <v>0</v>
      </c>
      <c r="AB205" s="8" t="n">
        <v>0</v>
      </c>
      <c r="AC205" s="11" t="n">
        <f aca="false">IF(AND(ISNUMBER(AA205),ISNUMBER(D205),D205&gt;0),AA205/D205*100,"")</f>
        <v>0</v>
      </c>
      <c r="AD205" s="12"/>
      <c r="AE205" s="8" t="s">
        <v>74</v>
      </c>
      <c r="AF205" s="8" t="s">
        <v>74</v>
      </c>
      <c r="AG205" s="12" t="n">
        <v>278.8</v>
      </c>
      <c r="AH205" s="12" t="n">
        <v>313.75</v>
      </c>
      <c r="AI205" s="12" t="n">
        <v>351.37</v>
      </c>
      <c r="AJ205" s="12" t="n">
        <v>370</v>
      </c>
      <c r="AK205" s="8" t="n">
        <v>15</v>
      </c>
      <c r="AL205" s="10" t="n">
        <v>1</v>
      </c>
      <c r="AM205" s="8" t="s">
        <v>77</v>
      </c>
      <c r="AN205" s="12"/>
      <c r="AO205" s="8" t="s">
        <v>77</v>
      </c>
      <c r="AP205" s="8" t="s">
        <v>77</v>
      </c>
      <c r="AQ205" s="10"/>
      <c r="AR205" s="8" t="n">
        <v>3</v>
      </c>
      <c r="AS205" s="8" t="n">
        <v>3</v>
      </c>
      <c r="AT205" s="8" t="n">
        <v>3</v>
      </c>
      <c r="AU205" s="8" t="n">
        <v>3</v>
      </c>
      <c r="AV205" s="8" t="n">
        <v>2</v>
      </c>
      <c r="AW205" s="8" t="n">
        <v>0</v>
      </c>
      <c r="AX205" s="8" t="n">
        <v>0</v>
      </c>
      <c r="AY205" s="8" t="n">
        <v>0</v>
      </c>
      <c r="AZ205" s="8" t="n">
        <v>0</v>
      </c>
      <c r="BA205" s="8" t="n">
        <v>0</v>
      </c>
      <c r="BB205" s="8" t="n">
        <v>0</v>
      </c>
      <c r="BC205" s="8" t="n">
        <v>0</v>
      </c>
      <c r="BD205" s="8" t="n">
        <v>0</v>
      </c>
      <c r="BE205" s="8" t="n">
        <v>0</v>
      </c>
      <c r="BF205" s="8" t="n">
        <v>0</v>
      </c>
      <c r="BG205" s="8"/>
      <c r="BH205" s="8" t="n">
        <v>0</v>
      </c>
      <c r="BI205" s="8" t="n">
        <v>0</v>
      </c>
      <c r="BJ205" s="9" t="n">
        <v>0</v>
      </c>
      <c r="BK205" s="9" t="n">
        <v>0</v>
      </c>
      <c r="BL205" s="9" t="n">
        <v>0</v>
      </c>
      <c r="BM205" s="9" t="n">
        <v>0</v>
      </c>
      <c r="BN205" s="10" t="n">
        <v>0</v>
      </c>
      <c r="BO205" s="10" t="n">
        <v>0</v>
      </c>
      <c r="BP205" s="10" t="n">
        <f aca="false">IF(AND(ISNUMBER(BN205),ISNUMBER(BO205)),BN205+BO205,"")</f>
        <v>0</v>
      </c>
      <c r="BQ205" s="10" t="n">
        <v>1</v>
      </c>
      <c r="BR205" s="10" t="n">
        <v>0</v>
      </c>
      <c r="BS205" s="10" t="n">
        <v>0</v>
      </c>
    </row>
    <row r="206" customFormat="false" ht="15" hidden="false" customHeight="false" outlineLevel="0" collapsed="false">
      <c r="A206" s="8" t="s">
        <v>80</v>
      </c>
      <c r="B206" s="8" t="s">
        <v>123</v>
      </c>
      <c r="C206" s="8" t="n">
        <v>6</v>
      </c>
      <c r="D206" s="9" t="n">
        <v>107</v>
      </c>
      <c r="E206" s="9" t="n">
        <v>48</v>
      </c>
      <c r="F206" s="8" t="s">
        <v>81</v>
      </c>
      <c r="G206" s="8" t="s">
        <v>74</v>
      </c>
      <c r="H206" s="10" t="n">
        <v>0</v>
      </c>
      <c r="I206" s="10" t="n">
        <v>0.014</v>
      </c>
      <c r="J206" s="10" t="n">
        <v>0.01</v>
      </c>
      <c r="K206" s="8" t="n">
        <v>0</v>
      </c>
      <c r="L206" s="8" t="n">
        <v>7</v>
      </c>
      <c r="M206" s="10" t="n">
        <v>0.008</v>
      </c>
      <c r="N206" s="8" t="n">
        <v>0</v>
      </c>
      <c r="O206" s="9" t="n">
        <v>7</v>
      </c>
      <c r="P206" s="10" t="n">
        <f aca="false">IF(AND(ISNUMBER(O206),ISNUMBER(D206),D206&gt;0),O206/D206,"")</f>
        <v>0.0654205607476635</v>
      </c>
      <c r="Q206" s="9" t="n">
        <v>6</v>
      </c>
      <c r="R206" s="9" t="n">
        <v>6</v>
      </c>
      <c r="S206" s="9" t="n">
        <v>23</v>
      </c>
      <c r="T206" s="11" t="n">
        <f aca="false">IF(AND(ISNUMBER(S206),ISNUMBER(D206),D206&gt;0),S206/D206,"")</f>
        <v>0.214953271028037</v>
      </c>
      <c r="U206" s="10" t="n">
        <v>0.087</v>
      </c>
      <c r="V206" s="10" t="n">
        <v>0.1</v>
      </c>
      <c r="W206" s="10" t="n">
        <v>0.07</v>
      </c>
      <c r="X206" s="10" t="n">
        <v>0.05</v>
      </c>
      <c r="Y206" s="8" t="n">
        <v>0</v>
      </c>
      <c r="Z206" s="8" t="s">
        <v>74</v>
      </c>
      <c r="AA206" s="8" t="n">
        <v>11</v>
      </c>
      <c r="AB206" s="8" t="n">
        <v>0</v>
      </c>
      <c r="AC206" s="11" t="n">
        <f aca="false">IF(AND(ISNUMBER(AA206),ISNUMBER(D206),D206&gt;0),AA206/D206*100,"")</f>
        <v>10.2803738317757</v>
      </c>
      <c r="AD206" s="12" t="n">
        <v>1250</v>
      </c>
      <c r="AE206" s="8" t="s">
        <v>74</v>
      </c>
      <c r="AF206" s="8" t="s">
        <v>77</v>
      </c>
      <c r="AG206" s="12" t="n">
        <v>299</v>
      </c>
      <c r="AH206" s="12" t="n">
        <v>318</v>
      </c>
      <c r="AI206" s="12" t="n">
        <v>360</v>
      </c>
      <c r="AJ206" s="12" t="n">
        <v>400</v>
      </c>
      <c r="AK206" s="8" t="n">
        <v>21</v>
      </c>
      <c r="AL206" s="10" t="n">
        <v>0.5</v>
      </c>
      <c r="AM206" s="8" t="s">
        <v>77</v>
      </c>
      <c r="AN206" s="12"/>
      <c r="AO206" s="8" t="s">
        <v>77</v>
      </c>
      <c r="AP206" s="8" t="s">
        <v>74</v>
      </c>
      <c r="AQ206" s="10" t="n">
        <v>0.8</v>
      </c>
      <c r="AR206" s="8" t="n">
        <v>2</v>
      </c>
      <c r="AS206" s="8" t="n">
        <v>1</v>
      </c>
      <c r="AT206" s="8"/>
      <c r="AU206" s="8" t="n">
        <v>1</v>
      </c>
      <c r="AV206" s="8" t="n">
        <v>2</v>
      </c>
      <c r="AW206" s="8" t="n">
        <v>2</v>
      </c>
      <c r="AX206" s="8" t="n">
        <v>2</v>
      </c>
      <c r="AY206" s="8" t="n">
        <v>1</v>
      </c>
      <c r="AZ206" s="8" t="n">
        <v>2</v>
      </c>
      <c r="BA206" s="8" t="n">
        <v>2</v>
      </c>
      <c r="BB206" s="8" t="n">
        <v>1</v>
      </c>
      <c r="BC206" s="8" t="n">
        <v>3</v>
      </c>
      <c r="BD206" s="8" t="n">
        <v>1</v>
      </c>
      <c r="BE206" s="8" t="n">
        <v>1</v>
      </c>
      <c r="BF206" s="8" t="n">
        <v>1</v>
      </c>
      <c r="BG206" s="8" t="n">
        <v>1</v>
      </c>
      <c r="BH206" s="8" t="n">
        <v>4</v>
      </c>
      <c r="BI206" s="8" t="n">
        <v>1</v>
      </c>
      <c r="BJ206" s="9" t="n">
        <v>5</v>
      </c>
      <c r="BK206" s="9" t="n">
        <v>0</v>
      </c>
      <c r="BL206" s="9" t="n">
        <v>0</v>
      </c>
      <c r="BM206" s="9" t="n">
        <v>2</v>
      </c>
      <c r="BN206" s="10" t="n">
        <v>0</v>
      </c>
      <c r="BO206" s="10" t="n">
        <v>0</v>
      </c>
      <c r="BP206" s="10" t="n">
        <f aca="false">IF(AND(ISNUMBER(BN206),ISNUMBER(BO206)),BN206+BO206,"")</f>
        <v>0</v>
      </c>
      <c r="BQ206" s="10" t="n">
        <v>0.3</v>
      </c>
      <c r="BR206" s="10" t="n">
        <v>0.4</v>
      </c>
      <c r="BS206" s="10" t="n">
        <v>0.3</v>
      </c>
    </row>
    <row r="207" customFormat="false" ht="15" hidden="false" customHeight="false" outlineLevel="0" collapsed="false">
      <c r="A207" s="8" t="s">
        <v>82</v>
      </c>
      <c r="B207" s="8" t="s">
        <v>123</v>
      </c>
      <c r="C207" s="8" t="n">
        <v>6</v>
      </c>
      <c r="D207" s="9" t="n">
        <v>211</v>
      </c>
      <c r="E207" s="9" t="n">
        <v>149</v>
      </c>
      <c r="F207" s="8" t="s">
        <v>76</v>
      </c>
      <c r="G207" s="8" t="s">
        <v>74</v>
      </c>
      <c r="H207" s="10" t="n">
        <v>0</v>
      </c>
      <c r="I207" s="10" t="n">
        <v>0.073</v>
      </c>
      <c r="J207" s="10" t="n">
        <v>0.043</v>
      </c>
      <c r="K207" s="8" t="n">
        <v>0</v>
      </c>
      <c r="L207" s="8" t="n">
        <v>15</v>
      </c>
      <c r="M207" s="10" t="n">
        <v>0.15</v>
      </c>
      <c r="N207" s="8" t="n">
        <v>1</v>
      </c>
      <c r="O207" s="9" t="n">
        <v>14</v>
      </c>
      <c r="P207" s="10" t="n">
        <f aca="false">IF(AND(ISNUMBER(O207),ISNUMBER(D207),D207&gt;0),O207/D207,"")</f>
        <v>0.0663507109004739</v>
      </c>
      <c r="Q207" s="9" t="n">
        <v>14</v>
      </c>
      <c r="R207" s="9" t="n">
        <v>13</v>
      </c>
      <c r="S207" s="9" t="n">
        <v>31</v>
      </c>
      <c r="T207" s="11" t="n">
        <f aca="false">IF(AND(ISNUMBER(S207),ISNUMBER(D207),D207&gt;0),S207/D207,"")</f>
        <v>0.146919431279621</v>
      </c>
      <c r="U207" s="10" t="n">
        <v>0.12</v>
      </c>
      <c r="V207" s="10" t="n">
        <v>0.12</v>
      </c>
      <c r="W207" s="10" t="n">
        <v>0.1</v>
      </c>
      <c r="X207" s="10" t="n">
        <v>0.02</v>
      </c>
      <c r="Y207" s="8" t="n">
        <v>0</v>
      </c>
      <c r="Z207" s="8" t="s">
        <v>74</v>
      </c>
      <c r="AA207" s="8" t="n">
        <v>5</v>
      </c>
      <c r="AB207" s="8" t="n">
        <v>0</v>
      </c>
      <c r="AC207" s="11" t="n">
        <f aca="false">IF(AND(ISNUMBER(AA207),ISNUMBER(D207),D207&gt;0),AA207/D207*100,"")</f>
        <v>2.3696682464455</v>
      </c>
      <c r="AD207" s="12" t="n">
        <v>858.8</v>
      </c>
      <c r="AE207" s="8" t="s">
        <v>74</v>
      </c>
      <c r="AF207" s="8" t="s">
        <v>77</v>
      </c>
      <c r="AG207" s="12" t="n">
        <v>346.46</v>
      </c>
      <c r="AH207" s="12" t="n">
        <v>379.03</v>
      </c>
      <c r="AI207" s="12" t="n">
        <v>422.5</v>
      </c>
      <c r="AJ207" s="12" t="n">
        <v>460.9</v>
      </c>
      <c r="AK207" s="8" t="n">
        <v>15</v>
      </c>
      <c r="AL207" s="10" t="n">
        <v>0.25</v>
      </c>
      <c r="AM207" s="8" t="s">
        <v>74</v>
      </c>
      <c r="AN207" s="12" t="n">
        <v>75</v>
      </c>
      <c r="AO207" s="8" t="s">
        <v>74</v>
      </c>
      <c r="AP207" s="8" t="s">
        <v>74</v>
      </c>
      <c r="AQ207" s="10" t="n">
        <v>0.7</v>
      </c>
      <c r="AR207" s="8" t="n">
        <v>3</v>
      </c>
      <c r="AS207" s="8" t="n">
        <v>2</v>
      </c>
      <c r="AT207" s="8" t="n">
        <v>1</v>
      </c>
      <c r="AU207" s="8" t="n">
        <v>0</v>
      </c>
      <c r="AV207" s="8" t="n">
        <v>3</v>
      </c>
      <c r="AW207" s="8" t="n">
        <v>4</v>
      </c>
      <c r="AX207" s="8" t="n">
        <v>2</v>
      </c>
      <c r="AY207" s="8" t="n">
        <v>1</v>
      </c>
      <c r="AZ207" s="8" t="n">
        <v>4</v>
      </c>
      <c r="BA207" s="8" t="n">
        <v>2</v>
      </c>
      <c r="BB207" s="8" t="n">
        <v>1</v>
      </c>
      <c r="BC207" s="8" t="n">
        <v>2</v>
      </c>
      <c r="BD207" s="8" t="n">
        <v>1</v>
      </c>
      <c r="BE207" s="8" t="n">
        <v>3</v>
      </c>
      <c r="BF207" s="8" t="n">
        <v>1</v>
      </c>
      <c r="BG207" s="8" t="n">
        <v>0</v>
      </c>
      <c r="BH207" s="8" t="n">
        <v>3</v>
      </c>
      <c r="BI207" s="8" t="n">
        <v>3</v>
      </c>
      <c r="BJ207" s="9" t="n">
        <v>7</v>
      </c>
      <c r="BK207" s="9"/>
      <c r="BL207" s="9" t="n">
        <v>7</v>
      </c>
      <c r="BM207" s="9" t="n">
        <v>2</v>
      </c>
      <c r="BN207" s="10" t="n">
        <v>0</v>
      </c>
      <c r="BO207" s="10" t="n">
        <v>0.5</v>
      </c>
      <c r="BP207" s="10" t="n">
        <f aca="false">IF(AND(ISNUMBER(BN207),ISNUMBER(BO207)),BN207+BO207,"")</f>
        <v>0.5</v>
      </c>
      <c r="BQ207" s="10" t="n">
        <v>0.3</v>
      </c>
      <c r="BR207" s="10" t="n">
        <v>0.1</v>
      </c>
      <c r="BS207" s="10" t="n">
        <v>0.1</v>
      </c>
    </row>
    <row r="208" customFormat="false" ht="15" hidden="false" customHeight="false" outlineLevel="0" collapsed="false">
      <c r="A208" s="8" t="s">
        <v>83</v>
      </c>
      <c r="B208" s="8" t="s">
        <v>123</v>
      </c>
      <c r="C208" s="8" t="n">
        <v>6</v>
      </c>
      <c r="D208" s="9" t="n">
        <v>1439</v>
      </c>
      <c r="E208" s="9" t="n">
        <v>949</v>
      </c>
      <c r="F208" s="8" t="s">
        <v>76</v>
      </c>
      <c r="G208" s="8" t="s">
        <v>74</v>
      </c>
      <c r="H208" s="10" t="n">
        <v>0.8</v>
      </c>
      <c r="I208" s="10" t="n">
        <v>0.009</v>
      </c>
      <c r="J208" s="10" t="n">
        <v>0.031</v>
      </c>
      <c r="K208" s="8" t="n">
        <v>0</v>
      </c>
      <c r="L208" s="8" t="n">
        <v>30</v>
      </c>
      <c r="M208" s="10" t="n">
        <v>0.002</v>
      </c>
      <c r="N208" s="8" t="n">
        <v>0</v>
      </c>
      <c r="O208" s="9" t="n">
        <v>31</v>
      </c>
      <c r="P208" s="10" t="n">
        <f aca="false">IF(AND(ISNUMBER(O208),ISNUMBER(D208),D208&gt;0),O208/D208,"")</f>
        <v>0.0215427380125087</v>
      </c>
      <c r="Q208" s="9" t="n">
        <v>128</v>
      </c>
      <c r="R208" s="9" t="n">
        <v>34</v>
      </c>
      <c r="S208" s="9" t="n">
        <v>161</v>
      </c>
      <c r="T208" s="11" t="n">
        <f aca="false">IF(AND(ISNUMBER(S208),ISNUMBER(D208),D208&gt;0),S208/D208,"")</f>
        <v>0.111883252258513</v>
      </c>
      <c r="U208" s="10" t="n">
        <v>0.07</v>
      </c>
      <c r="V208" s="10" t="n">
        <v>0.06</v>
      </c>
      <c r="W208" s="10" t="n">
        <v>0.11</v>
      </c>
      <c r="X208" s="10" t="n">
        <v>0.03</v>
      </c>
      <c r="Y208" s="8" t="n">
        <v>0</v>
      </c>
      <c r="Z208" s="8" t="s">
        <v>74</v>
      </c>
      <c r="AA208" s="8" t="n">
        <v>15</v>
      </c>
      <c r="AB208" s="8" t="n">
        <v>0</v>
      </c>
      <c r="AC208" s="11" t="n">
        <f aca="false">IF(AND(ISNUMBER(AA208),ISNUMBER(D208),D208&gt;0),AA208/D208*100,"")</f>
        <v>1.04239054899236</v>
      </c>
      <c r="AD208" s="12" t="n">
        <v>2000</v>
      </c>
      <c r="AE208" s="8" t="s">
        <v>74</v>
      </c>
      <c r="AF208" s="8" t="s">
        <v>74</v>
      </c>
      <c r="AG208" s="12" t="n">
        <v>370.76</v>
      </c>
      <c r="AH208" s="12" t="n">
        <v>438.81</v>
      </c>
      <c r="AI208" s="12" t="n">
        <v>570.2</v>
      </c>
      <c r="AJ208" s="12" t="n">
        <v>753.28</v>
      </c>
      <c r="AK208" s="8" t="n">
        <v>32</v>
      </c>
      <c r="AL208" s="10" t="n">
        <v>0.85</v>
      </c>
      <c r="AM208" s="8" t="s">
        <v>74</v>
      </c>
      <c r="AN208" s="12" t="n">
        <v>13</v>
      </c>
      <c r="AO208" s="8" t="s">
        <v>77</v>
      </c>
      <c r="AP208" s="8" t="s">
        <v>74</v>
      </c>
      <c r="AQ208" s="10" t="n">
        <v>0.64</v>
      </c>
      <c r="AR208" s="8" t="n">
        <v>3</v>
      </c>
      <c r="AS208" s="8" t="n">
        <v>2</v>
      </c>
      <c r="AT208" s="8" t="n">
        <v>1</v>
      </c>
      <c r="AU208" s="8" t="n">
        <v>1</v>
      </c>
      <c r="AV208" s="8" t="n">
        <v>3</v>
      </c>
      <c r="AW208" s="8" t="n">
        <v>1</v>
      </c>
      <c r="AX208" s="8" t="n">
        <v>1</v>
      </c>
      <c r="AY208" s="8" t="n">
        <v>1</v>
      </c>
      <c r="AZ208" s="8" t="n">
        <v>2</v>
      </c>
      <c r="BA208" s="8"/>
      <c r="BB208" s="8" t="n">
        <v>1</v>
      </c>
      <c r="BC208" s="8" t="n">
        <v>1</v>
      </c>
      <c r="BD208" s="8" t="n">
        <v>1</v>
      </c>
      <c r="BE208" s="8" t="n">
        <v>0</v>
      </c>
      <c r="BF208" s="8" t="n">
        <v>2</v>
      </c>
      <c r="BG208" s="8" t="n">
        <v>1</v>
      </c>
      <c r="BH208" s="8" t="n">
        <v>2</v>
      </c>
      <c r="BI208" s="8" t="n">
        <v>3</v>
      </c>
      <c r="BJ208" s="9" t="n">
        <v>20</v>
      </c>
      <c r="BK208" s="9" t="n">
        <v>14</v>
      </c>
      <c r="BL208" s="9"/>
      <c r="BM208" s="9" t="n">
        <v>6</v>
      </c>
      <c r="BN208" s="10" t="n">
        <v>0</v>
      </c>
      <c r="BO208" s="10" t="n">
        <v>0</v>
      </c>
      <c r="BP208" s="10" t="n">
        <f aca="false">IF(AND(ISNUMBER(BN208),ISNUMBER(BO208)),BN208+BO208,"")</f>
        <v>0</v>
      </c>
      <c r="BQ208" s="10" t="n">
        <v>0.1</v>
      </c>
      <c r="BR208" s="10" t="n">
        <v>0.7</v>
      </c>
      <c r="BS208" s="10" t="n">
        <v>0.2</v>
      </c>
    </row>
    <row r="209" customFormat="false" ht="15" hidden="false" customHeight="false" outlineLevel="0" collapsed="false">
      <c r="A209" s="8" t="s">
        <v>84</v>
      </c>
      <c r="B209" s="8" t="s">
        <v>123</v>
      </c>
      <c r="C209" s="8" t="n">
        <v>6</v>
      </c>
      <c r="D209" s="9" t="n">
        <v>228</v>
      </c>
      <c r="E209" s="9" t="n">
        <v>525</v>
      </c>
      <c r="F209" s="8" t="s">
        <v>76</v>
      </c>
      <c r="G209" s="8" t="s">
        <v>74</v>
      </c>
      <c r="H209" s="10" t="n">
        <v>0.7</v>
      </c>
      <c r="I209" s="10" t="n">
        <v>0.111</v>
      </c>
      <c r="J209" s="10" t="n">
        <v>0.019</v>
      </c>
      <c r="K209" s="8" t="n">
        <v>0</v>
      </c>
      <c r="L209" s="8" t="n">
        <v>45</v>
      </c>
      <c r="M209" s="10" t="n">
        <v>0.001</v>
      </c>
      <c r="N209" s="8" t="n">
        <v>0</v>
      </c>
      <c r="O209" s="9" t="n">
        <v>18</v>
      </c>
      <c r="P209" s="10" t="n">
        <f aca="false">IF(AND(ISNUMBER(O209),ISNUMBER(D209),D209&gt;0),O209/D209,"")</f>
        <v>0.0789473684210526</v>
      </c>
      <c r="Q209" s="9" t="n">
        <v>73</v>
      </c>
      <c r="R209" s="9" t="n">
        <v>8</v>
      </c>
      <c r="S209" s="9" t="n">
        <v>67</v>
      </c>
      <c r="T209" s="11" t="n">
        <f aca="false">IF(AND(ISNUMBER(S209),ISNUMBER(D209),D209&gt;0),S209/D209,"")</f>
        <v>0.293859649122807</v>
      </c>
      <c r="U209" s="10" t="n">
        <v>0.063</v>
      </c>
      <c r="V209" s="10" t="n">
        <v>0.095</v>
      </c>
      <c r="W209" s="10" t="n">
        <v>0.085</v>
      </c>
      <c r="X209" s="10" t="n">
        <v>0.04</v>
      </c>
      <c r="Y209" s="8" t="n">
        <v>0</v>
      </c>
      <c r="Z209" s="8" t="s">
        <v>74</v>
      </c>
      <c r="AA209" s="8" t="n">
        <v>20</v>
      </c>
      <c r="AB209" s="8" t="n">
        <v>0</v>
      </c>
      <c r="AC209" s="11" t="n">
        <f aca="false">IF(AND(ISNUMBER(AA209),ISNUMBER(D209),D209&gt;0),AA209/D209*100,"")</f>
        <v>8.7719298245614</v>
      </c>
      <c r="AD209" s="12" t="n">
        <v>1500</v>
      </c>
      <c r="AE209" s="8" t="s">
        <v>74</v>
      </c>
      <c r="AF209" s="8" t="s">
        <v>77</v>
      </c>
      <c r="AG209" s="12" t="n">
        <v>283</v>
      </c>
      <c r="AH209" s="12" t="n">
        <v>326</v>
      </c>
      <c r="AI209" s="12" t="n">
        <v>356</v>
      </c>
      <c r="AJ209" s="12" t="n">
        <v>388</v>
      </c>
      <c r="AK209" s="8" t="n">
        <v>18</v>
      </c>
      <c r="AL209" s="10" t="n">
        <v>0.25</v>
      </c>
      <c r="AM209" s="8" t="s">
        <v>74</v>
      </c>
      <c r="AN209" s="12" t="n">
        <v>70</v>
      </c>
      <c r="AO209" s="8" t="s">
        <v>74</v>
      </c>
      <c r="AP209" s="8"/>
      <c r="AQ209" s="10" t="n">
        <v>0.95</v>
      </c>
      <c r="AR209" s="8" t="n">
        <v>4</v>
      </c>
      <c r="AS209" s="8" t="n">
        <v>1</v>
      </c>
      <c r="AT209" s="8" t="n">
        <v>1</v>
      </c>
      <c r="AU209" s="8" t="n">
        <v>1</v>
      </c>
      <c r="AV209" s="8" t="n">
        <v>1</v>
      </c>
      <c r="AW209" s="8" t="n">
        <v>4</v>
      </c>
      <c r="AX209" s="8" t="n">
        <v>2</v>
      </c>
      <c r="AY209" s="8" t="n">
        <v>1</v>
      </c>
      <c r="AZ209" s="8" t="n">
        <v>3</v>
      </c>
      <c r="BA209" s="8" t="n">
        <v>4</v>
      </c>
      <c r="BB209" s="8" t="n">
        <v>4</v>
      </c>
      <c r="BC209" s="8" t="n">
        <v>5</v>
      </c>
      <c r="BD209" s="8" t="n">
        <v>1</v>
      </c>
      <c r="BE209" s="8" t="n">
        <v>3</v>
      </c>
      <c r="BF209" s="8" t="n">
        <v>3</v>
      </c>
      <c r="BG209" s="8" t="n">
        <v>1</v>
      </c>
      <c r="BH209" s="8" t="n">
        <v>4</v>
      </c>
      <c r="BI209" s="8" t="n">
        <v>5</v>
      </c>
      <c r="BJ209" s="9" t="n">
        <v>1</v>
      </c>
      <c r="BK209" s="9" t="n">
        <v>14</v>
      </c>
      <c r="BL209" s="9" t="n">
        <v>0</v>
      </c>
      <c r="BM209" s="9" t="n">
        <v>3</v>
      </c>
      <c r="BN209" s="10" t="n">
        <v>0.3</v>
      </c>
      <c r="BO209" s="10" t="n">
        <v>0</v>
      </c>
      <c r="BP209" s="10" t="n">
        <f aca="false">IF(AND(ISNUMBER(BN209),ISNUMBER(BO209)),BN209+BO209,"")</f>
        <v>0.3</v>
      </c>
      <c r="BQ209" s="10" t="n">
        <v>0</v>
      </c>
      <c r="BR209" s="10" t="n">
        <v>0.6</v>
      </c>
      <c r="BS209" s="10" t="n">
        <v>0.1</v>
      </c>
    </row>
    <row r="210" customFormat="false" ht="15" hidden="false" customHeight="false" outlineLevel="0" collapsed="false">
      <c r="A210" s="8" t="s">
        <v>85</v>
      </c>
      <c r="B210" s="8" t="s">
        <v>123</v>
      </c>
      <c r="C210" s="8" t="n">
        <v>6</v>
      </c>
      <c r="D210" s="9" t="n">
        <v>200</v>
      </c>
      <c r="E210" s="9" t="n">
        <v>95</v>
      </c>
      <c r="F210" s="8" t="s">
        <v>81</v>
      </c>
      <c r="G210" s="8" t="s">
        <v>74</v>
      </c>
      <c r="H210" s="10"/>
      <c r="I210" s="10" t="n">
        <v>0.032</v>
      </c>
      <c r="J210" s="10" t="n">
        <v>0.004</v>
      </c>
      <c r="K210" s="8" t="n">
        <v>0</v>
      </c>
      <c r="L210" s="8" t="n">
        <v>5</v>
      </c>
      <c r="M210" s="10" t="n">
        <v>0.02</v>
      </c>
      <c r="N210" s="8" t="n">
        <v>0</v>
      </c>
      <c r="O210" s="9" t="n">
        <v>4</v>
      </c>
      <c r="P210" s="10" t="n">
        <f aca="false">IF(AND(ISNUMBER(O210),ISNUMBER(D210),D210&gt;0),O210/D210,"")</f>
        <v>0.02</v>
      </c>
      <c r="Q210" s="9" t="n">
        <v>3</v>
      </c>
      <c r="R210" s="9" t="n">
        <v>3</v>
      </c>
      <c r="S210" s="9" t="n">
        <v>13</v>
      </c>
      <c r="T210" s="11" t="n">
        <f aca="false">IF(AND(ISNUMBER(S210),ISNUMBER(D210),D210&gt;0),S210/D210,"")</f>
        <v>0.065</v>
      </c>
      <c r="U210" s="10" t="n">
        <v>0.065</v>
      </c>
      <c r="V210" s="10" t="n">
        <v>0.1</v>
      </c>
      <c r="W210" s="10"/>
      <c r="X210" s="10" t="n">
        <v>0.075</v>
      </c>
      <c r="Y210" s="8" t="n">
        <v>0</v>
      </c>
      <c r="Z210" s="8" t="s">
        <v>74</v>
      </c>
      <c r="AA210" s="8" t="n">
        <v>6</v>
      </c>
      <c r="AB210" s="8" t="n">
        <v>0</v>
      </c>
      <c r="AC210" s="11" t="n">
        <f aca="false">IF(AND(ISNUMBER(AA210),ISNUMBER(D210),D210&gt;0),AA210/D210*100,"")</f>
        <v>3</v>
      </c>
      <c r="AD210" s="12" t="n">
        <v>2528</v>
      </c>
      <c r="AE210" s="8" t="s">
        <v>74</v>
      </c>
      <c r="AF210" s="8" t="s">
        <v>74</v>
      </c>
      <c r="AG210" s="12" t="n">
        <v>390</v>
      </c>
      <c r="AH210" s="12" t="n">
        <v>489</v>
      </c>
      <c r="AI210" s="12" t="n">
        <v>540</v>
      </c>
      <c r="AJ210" s="12" t="n">
        <v>842</v>
      </c>
      <c r="AK210" s="8" t="n">
        <v>33</v>
      </c>
      <c r="AL210" s="10" t="n">
        <v>1</v>
      </c>
      <c r="AM210" s="8" t="s">
        <v>74</v>
      </c>
      <c r="AN210" s="12" t="n">
        <v>21</v>
      </c>
      <c r="AO210" s="8" t="s">
        <v>77</v>
      </c>
      <c r="AP210" s="8" t="s">
        <v>74</v>
      </c>
      <c r="AQ210" s="10" t="n">
        <v>0.7</v>
      </c>
      <c r="AR210" s="8" t="n">
        <v>4</v>
      </c>
      <c r="AS210" s="8" t="n">
        <v>1</v>
      </c>
      <c r="AT210" s="8" t="n">
        <v>1</v>
      </c>
      <c r="AU210" s="8" t="n">
        <v>1</v>
      </c>
      <c r="AV210" s="8" t="n">
        <v>1</v>
      </c>
      <c r="AW210" s="8" t="n">
        <v>0</v>
      </c>
      <c r="AX210" s="8" t="n">
        <v>1</v>
      </c>
      <c r="AY210" s="8" t="n">
        <v>0</v>
      </c>
      <c r="AZ210" s="8" t="n">
        <v>0</v>
      </c>
      <c r="BA210" s="8" t="n">
        <v>4</v>
      </c>
      <c r="BB210" s="8" t="n">
        <v>5</v>
      </c>
      <c r="BC210" s="8" t="n">
        <v>4</v>
      </c>
      <c r="BD210" s="8" t="n">
        <v>1</v>
      </c>
      <c r="BE210" s="8" t="n">
        <v>0</v>
      </c>
      <c r="BF210" s="8" t="n">
        <v>1</v>
      </c>
      <c r="BG210" s="8" t="n">
        <v>0</v>
      </c>
      <c r="BH210" s="8" t="n">
        <v>0</v>
      </c>
      <c r="BI210" s="8" t="n">
        <v>1</v>
      </c>
      <c r="BJ210" s="9" t="n">
        <v>3</v>
      </c>
      <c r="BK210" s="9" t="n">
        <v>0</v>
      </c>
      <c r="BL210" s="9" t="n">
        <v>0</v>
      </c>
      <c r="BM210" s="9" t="n">
        <v>0</v>
      </c>
      <c r="BN210" s="10" t="n">
        <v>0.4</v>
      </c>
      <c r="BO210" s="10" t="n">
        <v>0.2</v>
      </c>
      <c r="BP210" s="10" t="n">
        <f aca="false">IF(AND(ISNUMBER(BN210),ISNUMBER(BO210)),BN210+BO210,"")</f>
        <v>0.6</v>
      </c>
      <c r="BQ210" s="10" t="n">
        <v>0</v>
      </c>
      <c r="BR210" s="10" t="n">
        <v>0.1</v>
      </c>
      <c r="BS210" s="10" t="n">
        <v>0.3</v>
      </c>
    </row>
    <row r="211" customFormat="false" ht="15" hidden="false" customHeight="false" outlineLevel="0" collapsed="false">
      <c r="A211" s="8" t="s">
        <v>86</v>
      </c>
      <c r="B211" s="8" t="s">
        <v>123</v>
      </c>
      <c r="C211" s="8" t="n">
        <v>6</v>
      </c>
      <c r="D211" s="9" t="n">
        <v>274</v>
      </c>
      <c r="E211" s="9" t="n">
        <v>69</v>
      </c>
      <c r="F211" s="8" t="s">
        <v>76</v>
      </c>
      <c r="G211" s="8" t="s">
        <v>77</v>
      </c>
      <c r="H211" s="10"/>
      <c r="I211" s="10" t="n">
        <v>0.023</v>
      </c>
      <c r="J211" s="10" t="n">
        <v>0.021</v>
      </c>
      <c r="K211" s="8" t="n">
        <v>0</v>
      </c>
      <c r="L211" s="8" t="n">
        <v>15</v>
      </c>
      <c r="M211" s="10" t="n">
        <v>0.021</v>
      </c>
      <c r="N211" s="8" t="n">
        <v>0</v>
      </c>
      <c r="O211" s="9" t="n">
        <v>36</v>
      </c>
      <c r="P211" s="10" t="n">
        <f aca="false">IF(AND(ISNUMBER(O211),ISNUMBER(D211),D211&gt;0),O211/D211,"")</f>
        <v>0.131386861313869</v>
      </c>
      <c r="Q211" s="9" t="n">
        <v>52</v>
      </c>
      <c r="R211" s="9" t="n">
        <v>50</v>
      </c>
      <c r="S211" s="9" t="n">
        <v>56</v>
      </c>
      <c r="T211" s="11" t="n">
        <f aca="false">IF(AND(ISNUMBER(S211),ISNUMBER(D211),D211&gt;0),S211/D211,"")</f>
        <v>0.204379562043796</v>
      </c>
      <c r="U211" s="10" t="n">
        <v>0.05</v>
      </c>
      <c r="V211" s="10"/>
      <c r="W211" s="10"/>
      <c r="X211" s="10" t="n">
        <v>0.1</v>
      </c>
      <c r="Y211" s="8" t="n">
        <v>0</v>
      </c>
      <c r="Z211" s="8" t="s">
        <v>74</v>
      </c>
      <c r="AA211" s="8" t="n">
        <v>5</v>
      </c>
      <c r="AB211" s="8" t="n">
        <v>0</v>
      </c>
      <c r="AC211" s="11" t="n">
        <f aca="false">IF(AND(ISNUMBER(AA211),ISNUMBER(D211),D211&gt;0),AA211/D211*100,"")</f>
        <v>1.82481751824818</v>
      </c>
      <c r="AD211" s="12" t="n">
        <v>270</v>
      </c>
      <c r="AE211" s="8" t="s">
        <v>77</v>
      </c>
      <c r="AF211" s="8" t="s">
        <v>77</v>
      </c>
      <c r="AG211" s="12" t="n">
        <v>288</v>
      </c>
      <c r="AH211" s="12" t="n">
        <v>288</v>
      </c>
      <c r="AI211" s="12" t="n">
        <v>320</v>
      </c>
      <c r="AJ211" s="12" t="n">
        <v>336</v>
      </c>
      <c r="AK211" s="8" t="n">
        <v>20</v>
      </c>
      <c r="AL211" s="10" t="n">
        <v>0.25</v>
      </c>
      <c r="AM211" s="8" t="s">
        <v>74</v>
      </c>
      <c r="AN211" s="12" t="n">
        <v>33</v>
      </c>
      <c r="AO211" s="8" t="s">
        <v>77</v>
      </c>
      <c r="AP211" s="8" t="s">
        <v>77</v>
      </c>
      <c r="AQ211" s="10" t="n">
        <v>0.9</v>
      </c>
      <c r="AR211" s="8" t="n">
        <v>5</v>
      </c>
      <c r="AS211" s="8" t="n">
        <v>1</v>
      </c>
      <c r="AT211" s="8" t="n">
        <v>1</v>
      </c>
      <c r="AU211" s="8" t="n">
        <v>1</v>
      </c>
      <c r="AV211" s="8" t="n">
        <v>1</v>
      </c>
      <c r="AW211" s="8" t="n">
        <v>1</v>
      </c>
      <c r="AX211" s="8" t="n">
        <v>1</v>
      </c>
      <c r="AY211" s="8" t="n">
        <v>1</v>
      </c>
      <c r="AZ211" s="8" t="n">
        <v>4</v>
      </c>
      <c r="BA211" s="8" t="n">
        <v>5</v>
      </c>
      <c r="BB211" s="8" t="n">
        <v>1</v>
      </c>
      <c r="BC211" s="8" t="n">
        <v>3</v>
      </c>
      <c r="BD211" s="8" t="n">
        <v>1</v>
      </c>
      <c r="BE211" s="8" t="n">
        <v>1</v>
      </c>
      <c r="BF211" s="8" t="n">
        <v>0</v>
      </c>
      <c r="BG211" s="8" t="n">
        <v>0</v>
      </c>
      <c r="BH211" s="8" t="n">
        <v>0</v>
      </c>
      <c r="BI211" s="8" t="n">
        <v>3</v>
      </c>
      <c r="BJ211" s="9" t="n">
        <v>10</v>
      </c>
      <c r="BK211" s="9" t="n">
        <v>26</v>
      </c>
      <c r="BL211" s="9"/>
      <c r="BM211" s="9" t="n">
        <v>4</v>
      </c>
      <c r="BN211" s="10" t="n">
        <v>0</v>
      </c>
      <c r="BO211" s="10" t="n">
        <v>1</v>
      </c>
      <c r="BP211" s="10" t="n">
        <f aca="false">IF(AND(ISNUMBER(BN211),ISNUMBER(BO211)),BN211+BO211,"")</f>
        <v>1</v>
      </c>
      <c r="BQ211" s="10" t="n">
        <v>0</v>
      </c>
      <c r="BR211" s="10" t="n">
        <v>0</v>
      </c>
      <c r="BS211" s="10" t="n">
        <v>0</v>
      </c>
    </row>
    <row r="212" customFormat="false" ht="15" hidden="false" customHeight="false" outlineLevel="0" collapsed="false">
      <c r="A212" s="8" t="s">
        <v>87</v>
      </c>
      <c r="B212" s="8" t="s">
        <v>123</v>
      </c>
      <c r="C212" s="8" t="n">
        <v>6</v>
      </c>
      <c r="D212" s="9" t="n">
        <v>194</v>
      </c>
      <c r="E212" s="9" t="n">
        <v>88</v>
      </c>
      <c r="F212" s="8" t="s">
        <v>76</v>
      </c>
      <c r="G212" s="8" t="s">
        <v>74</v>
      </c>
      <c r="H212" s="10" t="n">
        <v>0.3</v>
      </c>
      <c r="I212" s="10" t="n">
        <v>0.05</v>
      </c>
      <c r="J212" s="10" t="n">
        <v>0.017</v>
      </c>
      <c r="K212" s="8" t="n">
        <v>0</v>
      </c>
      <c r="L212" s="8" t="n">
        <v>20</v>
      </c>
      <c r="M212" s="10" t="n">
        <v>0.03</v>
      </c>
      <c r="N212" s="8" t="n">
        <v>0</v>
      </c>
      <c r="O212" s="9" t="n">
        <v>14</v>
      </c>
      <c r="P212" s="10" t="n">
        <f aca="false">IF(AND(ISNUMBER(O212),ISNUMBER(D212),D212&gt;0),O212/D212,"")</f>
        <v>0.0721649484536082</v>
      </c>
      <c r="Q212" s="9"/>
      <c r="R212" s="9" t="n">
        <v>21</v>
      </c>
      <c r="S212" s="9" t="n">
        <v>7</v>
      </c>
      <c r="T212" s="11" t="n">
        <f aca="false">IF(AND(ISNUMBER(S212),ISNUMBER(D212),D212&gt;0),S212/D212,"")</f>
        <v>0.0360824742268041</v>
      </c>
      <c r="U212" s="10" t="n">
        <v>0.05</v>
      </c>
      <c r="V212" s="10"/>
      <c r="W212" s="10"/>
      <c r="X212" s="10" t="n">
        <v>0.1</v>
      </c>
      <c r="Y212" s="8" t="n">
        <v>0</v>
      </c>
      <c r="Z212" s="8" t="s">
        <v>74</v>
      </c>
      <c r="AA212" s="8" t="n">
        <v>30</v>
      </c>
      <c r="AB212" s="8" t="n">
        <v>0</v>
      </c>
      <c r="AC212" s="11" t="n">
        <f aca="false">IF(AND(ISNUMBER(AA212),ISNUMBER(D212),D212&gt;0),AA212/D212*100,"")</f>
        <v>15.4639175257732</v>
      </c>
      <c r="AD212" s="12" t="n">
        <v>95</v>
      </c>
      <c r="AE212" s="8" t="s">
        <v>74</v>
      </c>
      <c r="AF212" s="8" t="s">
        <v>74</v>
      </c>
      <c r="AG212" s="12" t="n">
        <v>278.8</v>
      </c>
      <c r="AH212" s="12" t="n">
        <v>348</v>
      </c>
      <c r="AI212" s="12" t="n">
        <v>441.72</v>
      </c>
      <c r="AJ212" s="12" t="n">
        <v>441.72</v>
      </c>
      <c r="AK212" s="8" t="n">
        <v>15</v>
      </c>
      <c r="AL212" s="10" t="n">
        <v>0.25</v>
      </c>
      <c r="AM212" s="8" t="s">
        <v>77</v>
      </c>
      <c r="AN212" s="12"/>
      <c r="AO212" s="8" t="s">
        <v>77</v>
      </c>
      <c r="AP212" s="8" t="s">
        <v>74</v>
      </c>
      <c r="AQ212" s="10" t="n">
        <v>0.85</v>
      </c>
      <c r="AR212" s="8" t="n">
        <v>4</v>
      </c>
      <c r="AS212" s="8" t="n">
        <v>3</v>
      </c>
      <c r="AT212" s="8" t="n">
        <v>1</v>
      </c>
      <c r="AU212" s="8" t="n">
        <v>2</v>
      </c>
      <c r="AV212" s="8" t="n">
        <v>2</v>
      </c>
      <c r="AW212" s="8" t="n">
        <v>0</v>
      </c>
      <c r="AX212" s="8" t="n">
        <v>1</v>
      </c>
      <c r="AY212" s="8" t="n">
        <v>2</v>
      </c>
      <c r="AZ212" s="8" t="n">
        <v>2</v>
      </c>
      <c r="BA212" s="8" t="n">
        <v>2</v>
      </c>
      <c r="BB212" s="8" t="n">
        <v>2</v>
      </c>
      <c r="BC212" s="8" t="n">
        <v>3</v>
      </c>
      <c r="BD212" s="8" t="n">
        <v>0</v>
      </c>
      <c r="BE212" s="8" t="n">
        <v>0</v>
      </c>
      <c r="BF212" s="8" t="n">
        <v>3</v>
      </c>
      <c r="BG212" s="8" t="n">
        <v>0</v>
      </c>
      <c r="BH212" s="8" t="n">
        <v>1</v>
      </c>
      <c r="BI212" s="8" t="n">
        <v>4</v>
      </c>
      <c r="BJ212" s="9" t="n">
        <v>9</v>
      </c>
      <c r="BK212" s="9" t="n">
        <v>4</v>
      </c>
      <c r="BL212" s="9" t="n">
        <v>1</v>
      </c>
      <c r="BM212" s="9" t="n">
        <v>4</v>
      </c>
      <c r="BN212" s="10" t="n">
        <v>0</v>
      </c>
      <c r="BO212" s="10" t="n">
        <v>0.6</v>
      </c>
      <c r="BP212" s="10" t="n">
        <f aca="false">IF(AND(ISNUMBER(BN212),ISNUMBER(BO212)),BN212+BO212,"")</f>
        <v>0.6</v>
      </c>
      <c r="BQ212" s="10" t="n">
        <v>0.3</v>
      </c>
      <c r="BR212" s="10" t="n">
        <v>0</v>
      </c>
      <c r="BS212" s="10" t="n">
        <v>0.1</v>
      </c>
    </row>
    <row r="213" customFormat="false" ht="15" hidden="false" customHeight="false" outlineLevel="0" collapsed="false">
      <c r="A213" s="8" t="s">
        <v>88</v>
      </c>
      <c r="B213" s="8" t="s">
        <v>123</v>
      </c>
      <c r="C213" s="8" t="n">
        <v>6</v>
      </c>
      <c r="D213" s="9" t="n">
        <v>58</v>
      </c>
      <c r="E213" s="9" t="n">
        <v>36</v>
      </c>
      <c r="F213" s="8" t="s">
        <v>76</v>
      </c>
      <c r="G213" s="8" t="s">
        <v>77</v>
      </c>
      <c r="H213" s="10" t="n">
        <v>0.1</v>
      </c>
      <c r="I213" s="10" t="n">
        <v>0.04</v>
      </c>
      <c r="J213" s="10" t="n">
        <v>0.005</v>
      </c>
      <c r="K213" s="8" t="n">
        <v>0</v>
      </c>
      <c r="L213" s="8" t="n">
        <v>3</v>
      </c>
      <c r="M213" s="10" t="n">
        <v>0.001</v>
      </c>
      <c r="N213" s="8" t="n">
        <v>0</v>
      </c>
      <c r="O213" s="9" t="n">
        <v>3</v>
      </c>
      <c r="P213" s="10" t="n">
        <f aca="false">IF(AND(ISNUMBER(O213),ISNUMBER(D213),D213&gt;0),O213/D213,"")</f>
        <v>0.0517241379310345</v>
      </c>
      <c r="Q213" s="9" t="n">
        <v>3</v>
      </c>
      <c r="R213" s="9" t="n">
        <v>3</v>
      </c>
      <c r="S213" s="9" t="n">
        <v>89</v>
      </c>
      <c r="T213" s="11" t="n">
        <f aca="false">IF(AND(ISNUMBER(S213),ISNUMBER(D213),D213&gt;0),S213/D213,"")</f>
        <v>1.53448275862069</v>
      </c>
      <c r="U213" s="10" t="n">
        <v>0.15</v>
      </c>
      <c r="V213" s="10" t="n">
        <v>0.1</v>
      </c>
      <c r="W213" s="10" t="n">
        <v>0.1</v>
      </c>
      <c r="X213" s="10" t="n">
        <v>0.1</v>
      </c>
      <c r="Y213" s="8" t="n">
        <v>0</v>
      </c>
      <c r="Z213" s="8" t="s">
        <v>77</v>
      </c>
      <c r="AA213" s="8" t="n">
        <v>0</v>
      </c>
      <c r="AB213" s="8" t="n">
        <v>0</v>
      </c>
      <c r="AC213" s="11" t="n">
        <f aca="false">IF(AND(ISNUMBER(AA213),ISNUMBER(D213),D213&gt;0),AA213/D213*100,"")</f>
        <v>0</v>
      </c>
      <c r="AD213" s="12"/>
      <c r="AE213" s="8" t="s">
        <v>74</v>
      </c>
      <c r="AF213" s="8" t="s">
        <v>74</v>
      </c>
      <c r="AG213" s="12" t="n">
        <v>300</v>
      </c>
      <c r="AH213" s="12" t="n">
        <v>336</v>
      </c>
      <c r="AI213" s="12" t="n">
        <v>357</v>
      </c>
      <c r="AJ213" s="12" t="n">
        <v>386</v>
      </c>
      <c r="AK213" s="8" t="n">
        <v>15</v>
      </c>
      <c r="AL213" s="10" t="n">
        <v>0.25</v>
      </c>
      <c r="AM213" s="8" t="s">
        <v>77</v>
      </c>
      <c r="AN213" s="12"/>
      <c r="AO213" s="8" t="s">
        <v>77</v>
      </c>
      <c r="AP213" s="8"/>
      <c r="AQ213" s="10"/>
      <c r="AR213" s="8" t="n">
        <v>4</v>
      </c>
      <c r="AS213" s="8" t="n">
        <v>3</v>
      </c>
      <c r="AT213" s="8" t="n">
        <v>3</v>
      </c>
      <c r="AU213" s="8" t="n">
        <v>4</v>
      </c>
      <c r="AV213" s="8" t="n">
        <v>2</v>
      </c>
      <c r="AW213" s="8" t="n">
        <v>0</v>
      </c>
      <c r="AX213" s="8" t="n">
        <v>0</v>
      </c>
      <c r="AY213" s="8" t="n">
        <v>3</v>
      </c>
      <c r="AZ213" s="8" t="n">
        <v>3</v>
      </c>
      <c r="BA213" s="8" t="n">
        <v>3</v>
      </c>
      <c r="BB213" s="8" t="n">
        <v>2</v>
      </c>
      <c r="BC213" s="8" t="n">
        <v>2</v>
      </c>
      <c r="BD213" s="8" t="n">
        <v>0</v>
      </c>
      <c r="BE213" s="8" t="n">
        <v>2</v>
      </c>
      <c r="BF213" s="8" t="n">
        <v>0</v>
      </c>
      <c r="BG213" s="8" t="n">
        <v>0</v>
      </c>
      <c r="BH213" s="8" t="n">
        <v>0</v>
      </c>
      <c r="BI213" s="8" t="n">
        <v>2</v>
      </c>
      <c r="BJ213" s="9" t="n">
        <v>4</v>
      </c>
      <c r="BK213" s="9"/>
      <c r="BL213" s="9"/>
      <c r="BM213" s="9"/>
      <c r="BN213" s="10" t="n">
        <v>0</v>
      </c>
      <c r="BO213" s="10" t="n">
        <v>0</v>
      </c>
      <c r="BP213" s="10" t="n">
        <f aca="false">IF(AND(ISNUMBER(BN213),ISNUMBER(BO213)),BN213+BO213,"")</f>
        <v>0</v>
      </c>
      <c r="BQ213" s="10" t="n">
        <v>0.9</v>
      </c>
      <c r="BR213" s="10" t="n">
        <v>0.1</v>
      </c>
      <c r="BS213" s="10" t="n">
        <v>0</v>
      </c>
    </row>
    <row r="214" customFormat="false" ht="15" hidden="false" customHeight="false" outlineLevel="0" collapsed="false">
      <c r="A214" s="8" t="s">
        <v>89</v>
      </c>
      <c r="B214" s="8" t="s">
        <v>123</v>
      </c>
      <c r="C214" s="8" t="n">
        <v>6</v>
      </c>
      <c r="D214" s="9" t="n">
        <v>614</v>
      </c>
      <c r="E214" s="9" t="n">
        <v>179</v>
      </c>
      <c r="F214" s="8" t="s">
        <v>81</v>
      </c>
      <c r="G214" s="8" t="s">
        <v>74</v>
      </c>
      <c r="H214" s="10" t="n">
        <v>0.5</v>
      </c>
      <c r="I214" s="10" t="n">
        <v>0.02</v>
      </c>
      <c r="J214" s="10" t="n">
        <v>0.01</v>
      </c>
      <c r="K214" s="8" t="n">
        <v>0</v>
      </c>
      <c r="L214" s="8" t="n">
        <v>30</v>
      </c>
      <c r="M214" s="10" t="n">
        <v>0.008</v>
      </c>
      <c r="N214" s="8" t="n">
        <v>0</v>
      </c>
      <c r="O214" s="9" t="n">
        <v>38</v>
      </c>
      <c r="P214" s="10" t="n">
        <f aca="false">IF(AND(ISNUMBER(O214),ISNUMBER(D214),D214&gt;0),O214/D214,"")</f>
        <v>0.0618892508143323</v>
      </c>
      <c r="Q214" s="9" t="n">
        <v>41</v>
      </c>
      <c r="R214" s="9" t="n">
        <v>35</v>
      </c>
      <c r="S214" s="9" t="n">
        <v>330</v>
      </c>
      <c r="T214" s="11" t="n">
        <f aca="false">IF(AND(ISNUMBER(S214),ISNUMBER(D214),D214&gt;0),S214/D214,"")</f>
        <v>0.537459283387622</v>
      </c>
      <c r="U214" s="10" t="n">
        <v>0.042</v>
      </c>
      <c r="V214" s="10" t="n">
        <v>0.105</v>
      </c>
      <c r="W214" s="10" t="n">
        <v>0.06</v>
      </c>
      <c r="X214" s="10" t="n">
        <v>0.1</v>
      </c>
      <c r="Y214" s="8" t="n">
        <v>0</v>
      </c>
      <c r="Z214" s="8" t="s">
        <v>74</v>
      </c>
      <c r="AA214" s="8" t="n">
        <v>12</v>
      </c>
      <c r="AB214" s="8" t="n">
        <v>0</v>
      </c>
      <c r="AC214" s="11" t="n">
        <f aca="false">IF(AND(ISNUMBER(AA214),ISNUMBER(D214),D214&gt;0),AA214/D214*100,"")</f>
        <v>1.95439739413681</v>
      </c>
      <c r="AD214" s="12" t="n">
        <v>1102</v>
      </c>
      <c r="AE214" s="8" t="s">
        <v>74</v>
      </c>
      <c r="AF214" s="8" t="s">
        <v>74</v>
      </c>
      <c r="AG214" s="12" t="n">
        <v>371.14</v>
      </c>
      <c r="AH214" s="12" t="n">
        <v>445.36</v>
      </c>
      <c r="AI214" s="12" t="n">
        <v>519.59</v>
      </c>
      <c r="AJ214" s="12" t="n">
        <v>623.51</v>
      </c>
      <c r="AK214" s="8" t="n">
        <v>16</v>
      </c>
      <c r="AL214" s="10" t="n">
        <v>0.5</v>
      </c>
      <c r="AM214" s="8" t="s">
        <v>77</v>
      </c>
      <c r="AN214" s="12"/>
      <c r="AO214" s="8" t="s">
        <v>74</v>
      </c>
      <c r="AP214" s="8" t="s">
        <v>74</v>
      </c>
      <c r="AQ214" s="10" t="n">
        <v>0.7</v>
      </c>
      <c r="AR214" s="8" t="n">
        <v>4</v>
      </c>
      <c r="AS214" s="8" t="n">
        <v>4</v>
      </c>
      <c r="AT214" s="8" t="n">
        <v>2</v>
      </c>
      <c r="AU214" s="8" t="n">
        <v>3</v>
      </c>
      <c r="AV214" s="8" t="n">
        <v>1</v>
      </c>
      <c r="AW214" s="8" t="n">
        <v>2</v>
      </c>
      <c r="AX214" s="8" t="n">
        <v>1</v>
      </c>
      <c r="AY214" s="8" t="n">
        <v>1</v>
      </c>
      <c r="AZ214" s="8" t="n">
        <v>3</v>
      </c>
      <c r="BA214" s="8" t="n">
        <v>3</v>
      </c>
      <c r="BB214" s="8" t="n">
        <v>2</v>
      </c>
      <c r="BC214" s="8" t="n">
        <v>2</v>
      </c>
      <c r="BD214" s="8" t="n">
        <v>0</v>
      </c>
      <c r="BE214" s="8" t="n">
        <v>0</v>
      </c>
      <c r="BF214" s="8" t="n">
        <v>0</v>
      </c>
      <c r="BG214" s="8" t="n">
        <v>0</v>
      </c>
      <c r="BH214" s="8" t="n">
        <v>2</v>
      </c>
      <c r="BI214" s="8" t="n">
        <v>2</v>
      </c>
      <c r="BJ214" s="9" t="n">
        <v>8</v>
      </c>
      <c r="BK214" s="9" t="n">
        <v>9</v>
      </c>
      <c r="BL214" s="9" t="n">
        <v>5</v>
      </c>
      <c r="BM214" s="9" t="n">
        <v>11</v>
      </c>
      <c r="BN214" s="10" t="n">
        <v>0.2</v>
      </c>
      <c r="BO214" s="10" t="n">
        <v>0.2</v>
      </c>
      <c r="BP214" s="10" t="n">
        <f aca="false">IF(AND(ISNUMBER(BN214),ISNUMBER(BO214)),BN214+BO214,"")</f>
        <v>0.4</v>
      </c>
      <c r="BQ214" s="10" t="n">
        <v>0.3</v>
      </c>
      <c r="BR214" s="10" t="n">
        <v>0.2</v>
      </c>
      <c r="BS214" s="10" t="n">
        <v>0.1</v>
      </c>
    </row>
    <row r="215" customFormat="false" ht="15" hidden="false" customHeight="false" outlineLevel="0" collapsed="false">
      <c r="A215" s="8" t="s">
        <v>90</v>
      </c>
      <c r="B215" s="8" t="s">
        <v>123</v>
      </c>
      <c r="C215" s="8" t="n">
        <v>6</v>
      </c>
      <c r="D215" s="9" t="n">
        <v>260</v>
      </c>
      <c r="E215" s="9" t="n">
        <v>121</v>
      </c>
      <c r="F215" s="8" t="s">
        <v>81</v>
      </c>
      <c r="G215" s="8" t="s">
        <v>74</v>
      </c>
      <c r="H215" s="10" t="n">
        <v>0</v>
      </c>
      <c r="I215" s="10" t="n">
        <v>0.028</v>
      </c>
      <c r="J215" s="10" t="n">
        <v>0.013</v>
      </c>
      <c r="K215" s="8" t="n">
        <v>0</v>
      </c>
      <c r="L215" s="8" t="n">
        <v>15</v>
      </c>
      <c r="M215" s="10" t="n">
        <v>0.004</v>
      </c>
      <c r="N215" s="8" t="n">
        <v>0</v>
      </c>
      <c r="O215" s="9" t="n">
        <v>19</v>
      </c>
      <c r="P215" s="10" t="n">
        <f aca="false">IF(AND(ISNUMBER(O215),ISNUMBER(D215),D215&gt;0),O215/D215,"")</f>
        <v>0.0730769230769231</v>
      </c>
      <c r="Q215" s="9" t="n">
        <v>30</v>
      </c>
      <c r="R215" s="9" t="n">
        <v>15</v>
      </c>
      <c r="S215" s="9" t="n">
        <v>125</v>
      </c>
      <c r="T215" s="11" t="n">
        <f aca="false">IF(AND(ISNUMBER(S215),ISNUMBER(D215),D215&gt;0),S215/D215,"")</f>
        <v>0.480769230769231</v>
      </c>
      <c r="U215" s="10" t="n">
        <v>0.06</v>
      </c>
      <c r="V215" s="10" t="n">
        <v>0.12</v>
      </c>
      <c r="W215" s="10" t="n">
        <v>0.07</v>
      </c>
      <c r="X215" s="10" t="n">
        <v>0.13</v>
      </c>
      <c r="Y215" s="8" t="n">
        <v>0</v>
      </c>
      <c r="Z215" s="8" t="s">
        <v>74</v>
      </c>
      <c r="AA215" s="8" t="n">
        <v>18</v>
      </c>
      <c r="AB215" s="8" t="n">
        <v>0</v>
      </c>
      <c r="AC215" s="11" t="n">
        <f aca="false">IF(AND(ISNUMBER(AA215),ISNUMBER(D215),D215&gt;0),AA215/D215*100,"")</f>
        <v>6.92307692307692</v>
      </c>
      <c r="AD215" s="12" t="n">
        <v>3130</v>
      </c>
      <c r="AE215" s="8" t="s">
        <v>74</v>
      </c>
      <c r="AF215" s="8" t="s">
        <v>77</v>
      </c>
      <c r="AG215" s="12" t="n">
        <v>294</v>
      </c>
      <c r="AH215" s="12" t="n">
        <v>343</v>
      </c>
      <c r="AI215" s="12" t="n">
        <v>402</v>
      </c>
      <c r="AJ215" s="12" t="n">
        <v>452</v>
      </c>
      <c r="AK215" s="8" t="n">
        <v>21</v>
      </c>
      <c r="AL215" s="10" t="n">
        <v>0.45</v>
      </c>
      <c r="AM215" s="8" t="s">
        <v>74</v>
      </c>
      <c r="AN215" s="12" t="n">
        <v>41</v>
      </c>
      <c r="AO215" s="8" t="s">
        <v>74</v>
      </c>
      <c r="AP215" s="8" t="s">
        <v>74</v>
      </c>
      <c r="AQ215" s="10" t="n">
        <v>0.95</v>
      </c>
      <c r="AR215" s="8" t="n">
        <v>3</v>
      </c>
      <c r="AS215" s="8" t="n">
        <v>3</v>
      </c>
      <c r="AT215" s="8" t="n">
        <v>1</v>
      </c>
      <c r="AU215" s="8" t="n">
        <v>1</v>
      </c>
      <c r="AV215" s="8" t="n">
        <v>2</v>
      </c>
      <c r="AW215" s="8" t="n">
        <v>1</v>
      </c>
      <c r="AX215" s="8" t="n">
        <v>2</v>
      </c>
      <c r="AY215" s="8" t="n">
        <v>1</v>
      </c>
      <c r="AZ215" s="8" t="n">
        <v>1</v>
      </c>
      <c r="BA215" s="8" t="n">
        <v>1</v>
      </c>
      <c r="BB215" s="8" t="n">
        <v>2</v>
      </c>
      <c r="BC215" s="8" t="n">
        <v>3</v>
      </c>
      <c r="BD215" s="8" t="n">
        <v>0</v>
      </c>
      <c r="BE215" s="8" t="n">
        <v>0</v>
      </c>
      <c r="BF215" s="8" t="n">
        <v>1</v>
      </c>
      <c r="BG215" s="8" t="n">
        <v>1</v>
      </c>
      <c r="BH215" s="8" t="n">
        <v>2</v>
      </c>
      <c r="BI215" s="8" t="n">
        <v>4</v>
      </c>
      <c r="BJ215" s="9" t="n">
        <v>10</v>
      </c>
      <c r="BK215" s="9" t="n">
        <v>10</v>
      </c>
      <c r="BL215" s="9" t="n">
        <v>2</v>
      </c>
      <c r="BM215" s="9" t="n">
        <v>6</v>
      </c>
      <c r="BN215" s="10" t="n">
        <v>0.1</v>
      </c>
      <c r="BO215" s="10" t="n">
        <v>0.2</v>
      </c>
      <c r="BP215" s="10" t="n">
        <f aca="false">IF(AND(ISNUMBER(BN215),ISNUMBER(BO215)),BN215+BO215,"")</f>
        <v>0.3</v>
      </c>
      <c r="BQ215" s="10" t="n">
        <v>0.5</v>
      </c>
      <c r="BR215" s="10" t="n">
        <v>0.2</v>
      </c>
      <c r="BS215" s="10" t="n">
        <v>0</v>
      </c>
    </row>
    <row r="216" customFormat="false" ht="15" hidden="false" customHeight="false" outlineLevel="0" collapsed="false">
      <c r="A216" s="8" t="s">
        <v>91</v>
      </c>
      <c r="B216" s="8" t="s">
        <v>123</v>
      </c>
      <c r="C216" s="8" t="n">
        <v>6</v>
      </c>
      <c r="D216" s="9" t="n">
        <v>2553</v>
      </c>
      <c r="E216" s="9" t="n">
        <v>2252</v>
      </c>
      <c r="F216" s="8" t="s">
        <v>92</v>
      </c>
      <c r="G216" s="8" t="s">
        <v>74</v>
      </c>
      <c r="H216" s="10" t="n">
        <v>0.1</v>
      </c>
      <c r="I216" s="10" t="n">
        <v>0.067</v>
      </c>
      <c r="J216" s="10" t="n">
        <v>0.15</v>
      </c>
      <c r="K216" s="8" t="n">
        <v>1</v>
      </c>
      <c r="L216" s="8" t="n">
        <v>3</v>
      </c>
      <c r="M216" s="10" t="n">
        <v>0.004</v>
      </c>
      <c r="N216" s="8" t="n">
        <v>0</v>
      </c>
      <c r="O216" s="9" t="n">
        <v>443</v>
      </c>
      <c r="P216" s="10" t="n">
        <f aca="false">IF(AND(ISNUMBER(O216),ISNUMBER(D216),D216&gt;0),O216/D216,"")</f>
        <v>0.173521347434391</v>
      </c>
      <c r="Q216" s="9" t="n">
        <v>442</v>
      </c>
      <c r="R216" s="9" t="n">
        <v>422</v>
      </c>
      <c r="S216" s="9" t="n">
        <v>3465</v>
      </c>
      <c r="T216" s="11" t="n">
        <f aca="false">IF(AND(ISNUMBER(S216),ISNUMBER(D216),D216&gt;0),S216/D216,"")</f>
        <v>1.3572267920094</v>
      </c>
      <c r="U216" s="10" t="n">
        <v>0.082</v>
      </c>
      <c r="V216" s="10" t="n">
        <v>0.045</v>
      </c>
      <c r="W216" s="10" t="n">
        <v>0.13</v>
      </c>
      <c r="X216" s="10" t="n">
        <v>0.04</v>
      </c>
      <c r="Y216" s="8" t="n">
        <v>0</v>
      </c>
      <c r="Z216" s="8" t="s">
        <v>74</v>
      </c>
      <c r="AA216" s="8" t="n">
        <v>8</v>
      </c>
      <c r="AB216" s="8" t="n">
        <v>0</v>
      </c>
      <c r="AC216" s="11" t="n">
        <f aca="false">IF(AND(ISNUMBER(AA216),ISNUMBER(D216),D216&gt;0),AA216/D216*100,"")</f>
        <v>0.313356835095966</v>
      </c>
      <c r="AD216" s="12" t="n">
        <v>721</v>
      </c>
      <c r="AE216" s="8" t="s">
        <v>77</v>
      </c>
      <c r="AF216" s="8" t="s">
        <v>74</v>
      </c>
      <c r="AG216" s="12" t="n">
        <v>331.53</v>
      </c>
      <c r="AH216" s="12" t="n">
        <v>438.69</v>
      </c>
      <c r="AI216" s="12" t="n">
        <v>447.99</v>
      </c>
      <c r="AJ216" s="12" t="n">
        <v>807.27</v>
      </c>
      <c r="AK216" s="8" t="n">
        <v>30</v>
      </c>
      <c r="AL216" s="10" t="n">
        <v>0.6</v>
      </c>
      <c r="AM216" s="8" t="s">
        <v>74</v>
      </c>
      <c r="AN216" s="12" t="n">
        <v>25</v>
      </c>
      <c r="AO216" s="8" t="s">
        <v>74</v>
      </c>
      <c r="AP216" s="8" t="s">
        <v>74</v>
      </c>
      <c r="AQ216" s="10" t="n">
        <v>1</v>
      </c>
      <c r="AR216" s="8" t="n">
        <v>4</v>
      </c>
      <c r="AS216" s="8" t="n">
        <v>2</v>
      </c>
      <c r="AT216" s="8" t="n">
        <v>2</v>
      </c>
      <c r="AU216" s="8" t="n">
        <v>3</v>
      </c>
      <c r="AV216" s="8" t="n">
        <v>3</v>
      </c>
      <c r="AW216" s="8" t="n">
        <v>1</v>
      </c>
      <c r="AX216" s="8" t="n">
        <v>2</v>
      </c>
      <c r="AY216" s="8" t="n">
        <v>2</v>
      </c>
      <c r="AZ216" s="8" t="n">
        <v>1</v>
      </c>
      <c r="BA216" s="8" t="n">
        <v>1</v>
      </c>
      <c r="BB216" s="8" t="n">
        <v>2</v>
      </c>
      <c r="BC216" s="8" t="n">
        <v>1</v>
      </c>
      <c r="BD216" s="8" t="n">
        <v>1</v>
      </c>
      <c r="BE216" s="8" t="n">
        <v>1</v>
      </c>
      <c r="BF216" s="8" t="n">
        <v>1</v>
      </c>
      <c r="BG216" s="8" t="n">
        <v>0</v>
      </c>
      <c r="BH216" s="8" t="n">
        <v>2</v>
      </c>
      <c r="BI216" s="8" t="n">
        <v>1</v>
      </c>
      <c r="BJ216" s="9" t="n">
        <v>214</v>
      </c>
      <c r="BK216" s="9" t="n">
        <v>277</v>
      </c>
      <c r="BL216" s="9" t="n">
        <v>31</v>
      </c>
      <c r="BM216" s="9" t="n">
        <v>85</v>
      </c>
      <c r="BN216" s="10" t="n">
        <v>0.3</v>
      </c>
      <c r="BO216" s="10" t="n">
        <v>0.2</v>
      </c>
      <c r="BP216" s="10" t="n">
        <f aca="false">IF(AND(ISNUMBER(BN216),ISNUMBER(BO216)),BN216+BO216,"")</f>
        <v>0.5</v>
      </c>
      <c r="BQ216" s="10" t="n">
        <v>0.2</v>
      </c>
      <c r="BR216" s="10" t="n">
        <v>0.1</v>
      </c>
      <c r="BS216" s="10" t="n">
        <v>0.1</v>
      </c>
    </row>
    <row r="217" customFormat="false" ht="15" hidden="false" customHeight="false" outlineLevel="0" collapsed="false">
      <c r="A217" s="8" t="s">
        <v>93</v>
      </c>
      <c r="B217" s="8" t="s">
        <v>123</v>
      </c>
      <c r="C217" s="8" t="n">
        <v>6</v>
      </c>
      <c r="D217" s="9" t="n">
        <v>145</v>
      </c>
      <c r="E217" s="9" t="n">
        <v>94</v>
      </c>
      <c r="F217" s="8" t="s">
        <v>94</v>
      </c>
      <c r="G217" s="8" t="s">
        <v>74</v>
      </c>
      <c r="H217" s="10" t="n">
        <v>0.9</v>
      </c>
      <c r="I217" s="10" t="n">
        <v>0.15</v>
      </c>
      <c r="J217" s="10" t="n">
        <v>0.01</v>
      </c>
      <c r="K217" s="8" t="n">
        <v>0</v>
      </c>
      <c r="L217" s="8" t="n">
        <v>20</v>
      </c>
      <c r="M217" s="10" t="n">
        <v>0.01</v>
      </c>
      <c r="N217" s="8" t="n">
        <v>0</v>
      </c>
      <c r="O217" s="9" t="n">
        <v>21</v>
      </c>
      <c r="P217" s="10" t="n">
        <f aca="false">IF(AND(ISNUMBER(O217),ISNUMBER(D217),D217&gt;0),O217/D217,"")</f>
        <v>0.144827586206897</v>
      </c>
      <c r="Q217" s="9" t="n">
        <v>31</v>
      </c>
      <c r="R217" s="9" t="n">
        <v>60</v>
      </c>
      <c r="S217" s="9" t="n">
        <v>88</v>
      </c>
      <c r="T217" s="11" t="n">
        <f aca="false">IF(AND(ISNUMBER(S217),ISNUMBER(D217),D217&gt;0),S217/D217,"")</f>
        <v>0.606896551724138</v>
      </c>
      <c r="U217" s="10" t="n">
        <v>0.15</v>
      </c>
      <c r="V217" s="10" t="n">
        <v>0.09</v>
      </c>
      <c r="W217" s="10" t="n">
        <v>0.065</v>
      </c>
      <c r="X217" s="10" t="n">
        <v>0.1</v>
      </c>
      <c r="Y217" s="8" t="n">
        <v>0</v>
      </c>
      <c r="Z217" s="8" t="s">
        <v>74</v>
      </c>
      <c r="AA217" s="8" t="n">
        <v>16</v>
      </c>
      <c r="AB217" s="8" t="n">
        <v>0</v>
      </c>
      <c r="AC217" s="11" t="n">
        <f aca="false">IF(AND(ISNUMBER(AA217),ISNUMBER(D217),D217&gt;0),AA217/D217*100,"")</f>
        <v>11.0344827586207</v>
      </c>
      <c r="AD217" s="12" t="n">
        <v>2824.5</v>
      </c>
      <c r="AE217" s="8" t="s">
        <v>77</v>
      </c>
      <c r="AF217" s="8" t="s">
        <v>74</v>
      </c>
      <c r="AG217" s="12" t="n">
        <v>329.15</v>
      </c>
      <c r="AH217" s="12" t="n">
        <v>392.15</v>
      </c>
      <c r="AI217" s="12" t="n">
        <v>446.67</v>
      </c>
      <c r="AJ217" s="12" t="n">
        <v>500.31</v>
      </c>
      <c r="AK217" s="8" t="n">
        <v>15</v>
      </c>
      <c r="AL217" s="10" t="n">
        <v>0.25</v>
      </c>
      <c r="AM217" s="8" t="s">
        <v>74</v>
      </c>
      <c r="AN217" s="12" t="n">
        <v>65</v>
      </c>
      <c r="AO217" s="8" t="s">
        <v>77</v>
      </c>
      <c r="AP217" s="8" t="s">
        <v>74</v>
      </c>
      <c r="AQ217" s="10" t="n">
        <v>0.85</v>
      </c>
      <c r="AR217" s="8" t="n">
        <v>4</v>
      </c>
      <c r="AS217" s="8" t="n">
        <v>4</v>
      </c>
      <c r="AT217" s="8" t="n">
        <v>1</v>
      </c>
      <c r="AU217" s="8" t="n">
        <v>1</v>
      </c>
      <c r="AV217" s="8" t="n">
        <v>2</v>
      </c>
      <c r="AW217" s="8" t="n">
        <v>0</v>
      </c>
      <c r="AX217" s="8" t="n">
        <v>2</v>
      </c>
      <c r="AY217" s="8" t="n">
        <v>1</v>
      </c>
      <c r="AZ217" s="8" t="n">
        <v>1</v>
      </c>
      <c r="BA217" s="8" t="n">
        <v>1</v>
      </c>
      <c r="BB217" s="8" t="n">
        <v>2</v>
      </c>
      <c r="BC217" s="8" t="n">
        <v>1</v>
      </c>
      <c r="BD217" s="8" t="n">
        <v>1</v>
      </c>
      <c r="BE217" s="8" t="n">
        <v>2</v>
      </c>
      <c r="BF217" s="8" t="n">
        <v>0</v>
      </c>
      <c r="BG217" s="8" t="n">
        <v>0</v>
      </c>
      <c r="BH217" s="8" t="n">
        <v>1</v>
      </c>
      <c r="BI217" s="8" t="n">
        <v>0</v>
      </c>
      <c r="BJ217" s="9" t="n">
        <v>8</v>
      </c>
      <c r="BK217" s="9" t="n">
        <v>10</v>
      </c>
      <c r="BL217" s="9" t="n">
        <v>4</v>
      </c>
      <c r="BM217" s="9" t="n">
        <v>2</v>
      </c>
      <c r="BN217" s="10" t="n">
        <v>0.6</v>
      </c>
      <c r="BO217" s="10" t="n">
        <v>0.2</v>
      </c>
      <c r="BP217" s="10" t="n">
        <f aca="false">IF(AND(ISNUMBER(BN217),ISNUMBER(BO217)),BN217+BO217,"")</f>
        <v>0.8</v>
      </c>
      <c r="BQ217" s="10" t="n">
        <v>0.1</v>
      </c>
      <c r="BR217" s="10" t="n">
        <v>0.1</v>
      </c>
      <c r="BS217" s="10" t="n">
        <v>0</v>
      </c>
    </row>
    <row r="218" customFormat="false" ht="15" hidden="false" customHeight="false" outlineLevel="0" collapsed="false">
      <c r="A218" s="8" t="s">
        <v>95</v>
      </c>
      <c r="B218" s="8" t="s">
        <v>123</v>
      </c>
      <c r="C218" s="8" t="n">
        <v>6</v>
      </c>
      <c r="D218" s="9" t="n">
        <v>19</v>
      </c>
      <c r="E218" s="9" t="n">
        <v>17</v>
      </c>
      <c r="F218" s="8" t="s">
        <v>81</v>
      </c>
      <c r="G218" s="8" t="s">
        <v>77</v>
      </c>
      <c r="H218" s="10" t="n">
        <v>0.1</v>
      </c>
      <c r="I218" s="10" t="n">
        <v>0.001</v>
      </c>
      <c r="J218" s="10" t="n">
        <v>0.001</v>
      </c>
      <c r="K218" s="8" t="n">
        <v>0</v>
      </c>
      <c r="L218" s="8" t="n">
        <v>5</v>
      </c>
      <c r="M218" s="10" t="n">
        <v>0.001</v>
      </c>
      <c r="N218" s="8" t="n">
        <v>0</v>
      </c>
      <c r="O218" s="9" t="n">
        <v>0</v>
      </c>
      <c r="P218" s="10" t="n">
        <f aca="false">IF(AND(ISNUMBER(O218),ISNUMBER(D218),D218&gt;0),O218/D218,"")</f>
        <v>0</v>
      </c>
      <c r="Q218" s="9" t="n">
        <v>0</v>
      </c>
      <c r="R218" s="9" t="n">
        <v>0</v>
      </c>
      <c r="S218" s="9" t="n">
        <v>0</v>
      </c>
      <c r="T218" s="11" t="n">
        <f aca="false">IF(AND(ISNUMBER(S218),ISNUMBER(D218),D218&gt;0),S218/D218,"")</f>
        <v>0</v>
      </c>
      <c r="U218" s="10" t="n">
        <v>0.05</v>
      </c>
      <c r="V218" s="10" t="n">
        <v>0.1</v>
      </c>
      <c r="W218" s="10"/>
      <c r="X218" s="10" t="n">
        <v>0.1</v>
      </c>
      <c r="Y218" s="8" t="n">
        <v>0</v>
      </c>
      <c r="Z218" s="8" t="s">
        <v>77</v>
      </c>
      <c r="AA218" s="8" t="n">
        <v>0</v>
      </c>
      <c r="AB218" s="8" t="n">
        <v>0</v>
      </c>
      <c r="AC218" s="11" t="n">
        <f aca="false">IF(AND(ISNUMBER(AA218),ISNUMBER(D218),D218&gt;0),AA218/D218*100,"")</f>
        <v>0</v>
      </c>
      <c r="AD218" s="12"/>
      <c r="AE218" s="8" t="s">
        <v>74</v>
      </c>
      <c r="AF218" s="8" t="s">
        <v>77</v>
      </c>
      <c r="AG218" s="12" t="n">
        <v>285.71</v>
      </c>
      <c r="AH218" s="12" t="n">
        <v>385.71</v>
      </c>
      <c r="AI218" s="12" t="n">
        <v>457.14</v>
      </c>
      <c r="AJ218" s="12" t="n">
        <v>642.86</v>
      </c>
      <c r="AK218" s="8" t="n">
        <v>15</v>
      </c>
      <c r="AL218" s="10" t="n">
        <v>0.25</v>
      </c>
      <c r="AM218" s="8" t="s">
        <v>77</v>
      </c>
      <c r="AN218" s="12"/>
      <c r="AO218" s="8" t="s">
        <v>77</v>
      </c>
      <c r="AP218" s="8"/>
      <c r="AQ218" s="10"/>
      <c r="AR218" s="8" t="n">
        <v>3</v>
      </c>
      <c r="AS218" s="8" t="n">
        <v>2</v>
      </c>
      <c r="AT218" s="8" t="n">
        <v>0</v>
      </c>
      <c r="AU218" s="8" t="n">
        <v>1</v>
      </c>
      <c r="AV218" s="8" t="n">
        <v>0</v>
      </c>
      <c r="AW218" s="8" t="n">
        <v>0</v>
      </c>
      <c r="AX218" s="8" t="n">
        <v>0</v>
      </c>
      <c r="AY218" s="8" t="n">
        <v>1</v>
      </c>
      <c r="AZ218" s="8" t="n">
        <v>0</v>
      </c>
      <c r="BA218" s="8" t="n">
        <v>0</v>
      </c>
      <c r="BB218" s="8" t="n">
        <v>0</v>
      </c>
      <c r="BC218" s="8" t="n">
        <v>0</v>
      </c>
      <c r="BD218" s="8" t="n">
        <v>0</v>
      </c>
      <c r="BE218" s="8" t="n">
        <v>1</v>
      </c>
      <c r="BF218" s="8" t="n">
        <v>0</v>
      </c>
      <c r="BG218" s="8" t="n">
        <v>0</v>
      </c>
      <c r="BH218" s="8" t="n">
        <v>1</v>
      </c>
      <c r="BI218" s="8" t="n">
        <v>0</v>
      </c>
      <c r="BJ218" s="9"/>
      <c r="BK218" s="9" t="n">
        <v>0</v>
      </c>
      <c r="BL218" s="9" t="n">
        <v>0</v>
      </c>
      <c r="BM218" s="9"/>
      <c r="BN218" s="10" t="n">
        <v>0</v>
      </c>
      <c r="BO218" s="10" t="n">
        <v>0.3</v>
      </c>
      <c r="BP218" s="10" t="n">
        <f aca="false">IF(AND(ISNUMBER(BN218),ISNUMBER(BO218)),BN218+BO218,"")</f>
        <v>0.3</v>
      </c>
      <c r="BQ218" s="10" t="n">
        <v>0.7</v>
      </c>
      <c r="BR218" s="10" t="n">
        <v>0</v>
      </c>
      <c r="BS218" s="10" t="n">
        <v>0</v>
      </c>
    </row>
    <row r="219" customFormat="false" ht="15" hidden="false" customHeight="false" outlineLevel="0" collapsed="false">
      <c r="A219" s="8" t="s">
        <v>96</v>
      </c>
      <c r="B219" s="8" t="s">
        <v>123</v>
      </c>
      <c r="C219" s="8" t="n">
        <v>6</v>
      </c>
      <c r="D219" s="9" t="n">
        <v>636</v>
      </c>
      <c r="E219" s="9" t="n">
        <v>123</v>
      </c>
      <c r="F219" s="8" t="s">
        <v>76</v>
      </c>
      <c r="G219" s="8" t="s">
        <v>74</v>
      </c>
      <c r="H219" s="10" t="n">
        <v>0.2</v>
      </c>
      <c r="I219" s="10" t="n">
        <v>0.039</v>
      </c>
      <c r="J219" s="10" t="n">
        <v>0.014</v>
      </c>
      <c r="K219" s="8" t="n">
        <v>0</v>
      </c>
      <c r="L219" s="8" t="n">
        <v>7</v>
      </c>
      <c r="M219" s="10" t="n">
        <v>0.019</v>
      </c>
      <c r="N219" s="8" t="n">
        <v>0</v>
      </c>
      <c r="O219" s="9" t="n">
        <v>37</v>
      </c>
      <c r="P219" s="10" t="n">
        <f aca="false">IF(AND(ISNUMBER(O219),ISNUMBER(D219),D219&gt;0),O219/D219,"")</f>
        <v>0.0581761006289308</v>
      </c>
      <c r="Q219" s="9" t="n">
        <v>105</v>
      </c>
      <c r="R219" s="9" t="n">
        <v>42</v>
      </c>
      <c r="S219" s="9" t="n">
        <v>215</v>
      </c>
      <c r="T219" s="11" t="n">
        <f aca="false">IF(AND(ISNUMBER(S219),ISNUMBER(D219),D219&gt;0),S219/D219,"")</f>
        <v>0.338050314465409</v>
      </c>
      <c r="U219" s="10" t="n">
        <v>0.08</v>
      </c>
      <c r="V219" s="10" t="n">
        <v>0.1</v>
      </c>
      <c r="W219" s="10" t="n">
        <v>0.05</v>
      </c>
      <c r="X219" s="10" t="n">
        <v>0.01</v>
      </c>
      <c r="Y219" s="8" t="n">
        <v>0</v>
      </c>
      <c r="Z219" s="8" t="s">
        <v>74</v>
      </c>
      <c r="AA219" s="8" t="n">
        <v>17</v>
      </c>
      <c r="AB219" s="8" t="n">
        <v>0</v>
      </c>
      <c r="AC219" s="11" t="n">
        <f aca="false">IF(AND(ISNUMBER(AA219),ISNUMBER(D219),D219&gt;0),AA219/D219*100,"")</f>
        <v>2.67295597484277</v>
      </c>
      <c r="AD219" s="12" t="n">
        <v>450</v>
      </c>
      <c r="AE219" s="8" t="s">
        <v>74</v>
      </c>
      <c r="AF219" s="8" t="s">
        <v>77</v>
      </c>
      <c r="AG219" s="12" t="n">
        <v>368.01</v>
      </c>
      <c r="AH219" s="12" t="n">
        <v>448.03</v>
      </c>
      <c r="AI219" s="12" t="n">
        <v>649.32</v>
      </c>
      <c r="AJ219" s="12" t="n">
        <v>746.82</v>
      </c>
      <c r="AK219" s="8" t="n">
        <v>19</v>
      </c>
      <c r="AL219" s="10" t="n">
        <v>0.55</v>
      </c>
      <c r="AM219" s="8" t="s">
        <v>74</v>
      </c>
      <c r="AN219" s="12" t="n">
        <v>50</v>
      </c>
      <c r="AO219" s="8" t="s">
        <v>77</v>
      </c>
      <c r="AP219" s="8" t="s">
        <v>74</v>
      </c>
      <c r="AQ219" s="10" t="n">
        <v>0.9</v>
      </c>
      <c r="AR219" s="8" t="n">
        <v>3</v>
      </c>
      <c r="AS219" s="8" t="n">
        <v>2</v>
      </c>
      <c r="AT219" s="8" t="n">
        <v>1</v>
      </c>
      <c r="AU219" s="8" t="n">
        <v>3</v>
      </c>
      <c r="AV219" s="8" t="n">
        <v>0</v>
      </c>
      <c r="AW219" s="8" t="n">
        <v>1</v>
      </c>
      <c r="AX219" s="8" t="n">
        <v>0</v>
      </c>
      <c r="AY219" s="8" t="n">
        <v>0</v>
      </c>
      <c r="AZ219" s="8" t="n">
        <v>2</v>
      </c>
      <c r="BA219" s="8" t="n">
        <v>0</v>
      </c>
      <c r="BB219" s="8" t="n">
        <v>2</v>
      </c>
      <c r="BC219" s="8" t="n">
        <v>3</v>
      </c>
      <c r="BD219" s="8" t="n">
        <v>2</v>
      </c>
      <c r="BE219" s="8" t="n">
        <v>1</v>
      </c>
      <c r="BF219" s="8" t="n">
        <v>1</v>
      </c>
      <c r="BG219" s="8" t="n">
        <v>0</v>
      </c>
      <c r="BH219" s="8" t="n">
        <v>3</v>
      </c>
      <c r="BI219" s="8" t="n">
        <v>3</v>
      </c>
      <c r="BJ219" s="9" t="n">
        <v>38</v>
      </c>
      <c r="BK219" s="9" t="n">
        <v>5</v>
      </c>
      <c r="BL219" s="9" t="n">
        <v>0</v>
      </c>
      <c r="BM219" s="9" t="n">
        <v>0</v>
      </c>
      <c r="BN219" s="10" t="n">
        <v>0.6</v>
      </c>
      <c r="BO219" s="10" t="n">
        <v>0.2</v>
      </c>
      <c r="BP219" s="10" t="n">
        <f aca="false">IF(AND(ISNUMBER(BN219),ISNUMBER(BO219)),BN219+BO219,"")</f>
        <v>0.8</v>
      </c>
      <c r="BQ219" s="10" t="n">
        <v>0.1</v>
      </c>
      <c r="BR219" s="10" t="n">
        <v>0.1</v>
      </c>
      <c r="BS219" s="10" t="n">
        <v>0</v>
      </c>
    </row>
    <row r="220" customFormat="false" ht="15" hidden="false" customHeight="false" outlineLevel="0" collapsed="false">
      <c r="A220" s="8" t="s">
        <v>97</v>
      </c>
      <c r="B220" s="8" t="s">
        <v>123</v>
      </c>
      <c r="C220" s="8" t="n">
        <v>6</v>
      </c>
      <c r="D220" s="9" t="n">
        <v>682</v>
      </c>
      <c r="E220" s="9" t="n">
        <v>485</v>
      </c>
      <c r="F220" s="8" t="s">
        <v>76</v>
      </c>
      <c r="G220" s="8" t="s">
        <v>74</v>
      </c>
      <c r="H220" s="10" t="n">
        <v>0</v>
      </c>
      <c r="I220" s="10" t="n">
        <v>0.006</v>
      </c>
      <c r="J220" s="10" t="n">
        <v>0.002</v>
      </c>
      <c r="K220" s="8" t="n">
        <v>0</v>
      </c>
      <c r="L220" s="8" t="n">
        <v>30</v>
      </c>
      <c r="M220" s="10"/>
      <c r="N220" s="8" t="n">
        <v>0</v>
      </c>
      <c r="O220" s="9" t="n">
        <v>7</v>
      </c>
      <c r="P220" s="10" t="n">
        <f aca="false">IF(AND(ISNUMBER(O220),ISNUMBER(D220),D220&gt;0),O220/D220,"")</f>
        <v>0.0102639296187683</v>
      </c>
      <c r="Q220" s="9"/>
      <c r="R220" s="9" t="n">
        <v>23</v>
      </c>
      <c r="S220" s="9" t="n">
        <v>279</v>
      </c>
      <c r="T220" s="11" t="n">
        <f aca="false">IF(AND(ISNUMBER(S220),ISNUMBER(D220),D220&gt;0),S220/D220,"")</f>
        <v>0.409090909090909</v>
      </c>
      <c r="U220" s="10" t="n">
        <v>0.05</v>
      </c>
      <c r="V220" s="10" t="n">
        <v>0.105</v>
      </c>
      <c r="W220" s="10" t="n">
        <v>0.13</v>
      </c>
      <c r="X220" s="10"/>
      <c r="Y220" s="8" t="n">
        <v>0</v>
      </c>
      <c r="Z220" s="8" t="s">
        <v>77</v>
      </c>
      <c r="AA220" s="8" t="n">
        <v>0</v>
      </c>
      <c r="AB220" s="8" t="n">
        <v>0</v>
      </c>
      <c r="AC220" s="11" t="n">
        <f aca="false">IF(AND(ISNUMBER(AA220),ISNUMBER(D220),D220&gt;0),AA220/D220*100,"")</f>
        <v>0</v>
      </c>
      <c r="AD220" s="12"/>
      <c r="AE220" s="8" t="s">
        <v>77</v>
      </c>
      <c r="AF220" s="8" t="s">
        <v>77</v>
      </c>
      <c r="AG220" s="12" t="n">
        <v>476</v>
      </c>
      <c r="AH220" s="12" t="n">
        <v>577</v>
      </c>
      <c r="AI220" s="12" t="n">
        <v>750</v>
      </c>
      <c r="AJ220" s="12" t="n">
        <v>900</v>
      </c>
      <c r="AK220" s="8" t="n">
        <v>25</v>
      </c>
      <c r="AL220" s="10" t="n">
        <v>0.7</v>
      </c>
      <c r="AM220" s="8" t="s">
        <v>74</v>
      </c>
      <c r="AN220" s="12" t="n">
        <v>47</v>
      </c>
      <c r="AO220" s="8" t="s">
        <v>77</v>
      </c>
      <c r="AP220" s="8" t="s">
        <v>74</v>
      </c>
      <c r="AQ220" s="10"/>
      <c r="AR220" s="8" t="n">
        <v>4</v>
      </c>
      <c r="AS220" s="8" t="n">
        <v>1</v>
      </c>
      <c r="AT220" s="8" t="n">
        <v>0</v>
      </c>
      <c r="AU220" s="8" t="n">
        <v>0</v>
      </c>
      <c r="AV220" s="8" t="n">
        <v>0</v>
      </c>
      <c r="AW220" s="8" t="n">
        <v>0</v>
      </c>
      <c r="AX220" s="8" t="n">
        <v>1</v>
      </c>
      <c r="AY220" s="8" t="n">
        <v>1</v>
      </c>
      <c r="AZ220" s="8" t="n">
        <v>2</v>
      </c>
      <c r="BA220" s="8" t="n">
        <v>1</v>
      </c>
      <c r="BB220" s="8" t="n">
        <v>0</v>
      </c>
      <c r="BC220" s="8" t="n">
        <v>0</v>
      </c>
      <c r="BD220" s="8" t="n">
        <v>0</v>
      </c>
      <c r="BE220" s="8" t="n">
        <v>0</v>
      </c>
      <c r="BF220" s="8" t="n">
        <v>0</v>
      </c>
      <c r="BG220" s="8" t="n">
        <v>0</v>
      </c>
      <c r="BH220" s="8" t="n">
        <v>0</v>
      </c>
      <c r="BI220" s="8" t="n">
        <v>2</v>
      </c>
      <c r="BJ220" s="9" t="n">
        <v>9</v>
      </c>
      <c r="BK220" s="9" t="n">
        <v>0</v>
      </c>
      <c r="BL220" s="9" t="n">
        <v>0</v>
      </c>
      <c r="BM220" s="9" t="n">
        <v>3</v>
      </c>
      <c r="BN220" s="10" t="n">
        <v>0</v>
      </c>
      <c r="BO220" s="10" t="n">
        <v>0</v>
      </c>
      <c r="BP220" s="10" t="n">
        <f aca="false">IF(AND(ISNUMBER(BN220),ISNUMBER(BO220)),BN220+BO220,"")</f>
        <v>0</v>
      </c>
      <c r="BQ220" s="10" t="n">
        <v>0.5</v>
      </c>
      <c r="BR220" s="10" t="n">
        <v>0.3</v>
      </c>
      <c r="BS220" s="10" t="n">
        <v>0.2</v>
      </c>
    </row>
    <row r="221" customFormat="false" ht="15" hidden="false" customHeight="false" outlineLevel="0" collapsed="false">
      <c r="A221" s="8" t="s">
        <v>98</v>
      </c>
      <c r="B221" s="8" t="s">
        <v>123</v>
      </c>
      <c r="C221" s="8" t="n">
        <v>6</v>
      </c>
      <c r="D221" s="9" t="n">
        <v>3040</v>
      </c>
      <c r="E221" s="9" t="n">
        <v>954</v>
      </c>
      <c r="F221" s="8" t="s">
        <v>73</v>
      </c>
      <c r="G221" s="8" t="s">
        <v>74</v>
      </c>
      <c r="H221" s="10" t="n">
        <v>0.3</v>
      </c>
      <c r="I221" s="10" t="n">
        <v>0.025</v>
      </c>
      <c r="J221" s="10" t="n">
        <v>0.011</v>
      </c>
      <c r="K221" s="8" t="n">
        <v>0</v>
      </c>
      <c r="L221" s="8" t="n">
        <v>3</v>
      </c>
      <c r="M221" s="10" t="n">
        <v>0.037</v>
      </c>
      <c r="N221" s="8" t="n">
        <v>0</v>
      </c>
      <c r="O221" s="9" t="n">
        <v>398</v>
      </c>
      <c r="P221" s="10" t="n">
        <f aca="false">IF(AND(ISNUMBER(O221),ISNUMBER(D221),D221&gt;0),O221/D221,"")</f>
        <v>0.130921052631579</v>
      </c>
      <c r="Q221" s="9" t="n">
        <v>517</v>
      </c>
      <c r="R221" s="9" t="n">
        <v>517</v>
      </c>
      <c r="S221" s="9" t="n">
        <v>1554</v>
      </c>
      <c r="T221" s="11" t="n">
        <f aca="false">IF(AND(ISNUMBER(S221),ISNUMBER(D221),D221&gt;0),S221/D221,"")</f>
        <v>0.511184210526316</v>
      </c>
      <c r="U221" s="10" t="n">
        <v>0.07</v>
      </c>
      <c r="V221" s="10" t="n">
        <v>0.08</v>
      </c>
      <c r="W221" s="10" t="n">
        <v>0.06</v>
      </c>
      <c r="X221" s="10"/>
      <c r="Y221" s="8" t="n">
        <v>0</v>
      </c>
      <c r="Z221" s="8" t="s">
        <v>74</v>
      </c>
      <c r="AA221" s="8" t="n">
        <v>41</v>
      </c>
      <c r="AB221" s="8" t="n">
        <v>1</v>
      </c>
      <c r="AC221" s="11" t="n">
        <f aca="false">IF(AND(ISNUMBER(AA221),ISNUMBER(D221),D221&gt;0),AA221/D221*100,"")</f>
        <v>1.34868421052632</v>
      </c>
      <c r="AD221" s="12" t="n">
        <v>1136</v>
      </c>
      <c r="AE221" s="8" t="s">
        <v>74</v>
      </c>
      <c r="AF221" s="8" t="s">
        <v>74</v>
      </c>
      <c r="AG221" s="12" t="n">
        <v>330</v>
      </c>
      <c r="AH221" s="12" t="n">
        <v>380</v>
      </c>
      <c r="AI221" s="12" t="n">
        <v>425.74</v>
      </c>
      <c r="AJ221" s="12" t="n">
        <v>546.28</v>
      </c>
      <c r="AK221" s="8" t="n">
        <v>18</v>
      </c>
      <c r="AL221" s="10" t="n">
        <v>0.6</v>
      </c>
      <c r="AM221" s="8" t="s">
        <v>74</v>
      </c>
      <c r="AN221" s="12" t="n">
        <v>29</v>
      </c>
      <c r="AO221" s="8" t="s">
        <v>77</v>
      </c>
      <c r="AP221" s="8"/>
      <c r="AQ221" s="10" t="n">
        <v>0.75</v>
      </c>
      <c r="AR221" s="8" t="n">
        <v>2</v>
      </c>
      <c r="AS221" s="8" t="n">
        <v>1</v>
      </c>
      <c r="AT221" s="8" t="n">
        <v>0</v>
      </c>
      <c r="AU221" s="8" t="n">
        <v>2</v>
      </c>
      <c r="AV221" s="8" t="n">
        <v>1</v>
      </c>
      <c r="AW221" s="8" t="n">
        <v>1</v>
      </c>
      <c r="AX221" s="8" t="n">
        <v>2</v>
      </c>
      <c r="AY221" s="8" t="n">
        <v>2</v>
      </c>
      <c r="AZ221" s="8" t="n">
        <v>2</v>
      </c>
      <c r="BA221" s="8" t="n">
        <v>0</v>
      </c>
      <c r="BB221" s="8" t="n">
        <v>3</v>
      </c>
      <c r="BC221" s="8" t="n">
        <v>3</v>
      </c>
      <c r="BD221" s="8" t="n">
        <v>2</v>
      </c>
      <c r="BE221" s="8" t="n">
        <v>1</v>
      </c>
      <c r="BF221" s="8" t="n">
        <v>1</v>
      </c>
      <c r="BG221" s="8" t="n">
        <v>0</v>
      </c>
      <c r="BH221" s="8" t="n">
        <v>4</v>
      </c>
      <c r="BI221" s="8" t="n">
        <v>4</v>
      </c>
      <c r="BJ221" s="9" t="n">
        <v>87</v>
      </c>
      <c r="BK221" s="9" t="n">
        <v>89</v>
      </c>
      <c r="BL221" s="9" t="n">
        <v>159</v>
      </c>
      <c r="BM221" s="9" t="n">
        <v>106</v>
      </c>
      <c r="BN221" s="10" t="n">
        <v>0.4</v>
      </c>
      <c r="BO221" s="10" t="n">
        <v>0.3</v>
      </c>
      <c r="BP221" s="10" t="n">
        <f aca="false">IF(AND(ISNUMBER(BN221),ISNUMBER(BO221)),BN221+BO221,"")</f>
        <v>0.7</v>
      </c>
      <c r="BQ221" s="10" t="n">
        <v>0.2</v>
      </c>
      <c r="BR221" s="10" t="n">
        <v>0.1</v>
      </c>
      <c r="BS221" s="10" t="n">
        <v>0</v>
      </c>
    </row>
    <row r="222" customFormat="false" ht="15" hidden="false" customHeight="false" outlineLevel="0" collapsed="false">
      <c r="A222" s="8" t="s">
        <v>99</v>
      </c>
      <c r="B222" s="8" t="s">
        <v>123</v>
      </c>
      <c r="C222" s="8" t="n">
        <v>6</v>
      </c>
      <c r="D222" s="9" t="n">
        <v>66</v>
      </c>
      <c r="E222" s="9" t="n">
        <v>86</v>
      </c>
      <c r="F222" s="8" t="s">
        <v>92</v>
      </c>
      <c r="G222" s="8" t="s">
        <v>74</v>
      </c>
      <c r="H222" s="10" t="n">
        <v>0</v>
      </c>
      <c r="I222" s="10" t="n">
        <v>0.005</v>
      </c>
      <c r="J222" s="10" t="n">
        <v>0.008</v>
      </c>
      <c r="K222" s="8" t="n">
        <v>0</v>
      </c>
      <c r="L222" s="8" t="n">
        <v>15</v>
      </c>
      <c r="M222" s="10" t="n">
        <v>0.001</v>
      </c>
      <c r="N222" s="8" t="n">
        <v>0</v>
      </c>
      <c r="O222" s="9" t="n">
        <v>0</v>
      </c>
      <c r="P222" s="10" t="n">
        <f aca="false">IF(AND(ISNUMBER(O222),ISNUMBER(D222),D222&gt;0),O222/D222,"")</f>
        <v>0</v>
      </c>
      <c r="Q222" s="9" t="n">
        <v>7</v>
      </c>
      <c r="R222" s="9" t="n">
        <v>5</v>
      </c>
      <c r="S222" s="9" t="n">
        <v>5</v>
      </c>
      <c r="T222" s="11" t="n">
        <f aca="false">IF(AND(ISNUMBER(S222),ISNUMBER(D222),D222&gt;0),S222/D222,"")</f>
        <v>0.0757575757575758</v>
      </c>
      <c r="U222" s="10" t="n">
        <v>0.08</v>
      </c>
      <c r="V222" s="10" t="n">
        <v>0.13</v>
      </c>
      <c r="W222" s="10" t="n">
        <v>0.13</v>
      </c>
      <c r="X222" s="10" t="n">
        <v>0.01</v>
      </c>
      <c r="Y222" s="8" t="n">
        <v>0</v>
      </c>
      <c r="Z222" s="8" t="s">
        <v>77</v>
      </c>
      <c r="AA222" s="8" t="n">
        <v>0</v>
      </c>
      <c r="AB222" s="8" t="n">
        <v>0</v>
      </c>
      <c r="AC222" s="11" t="n">
        <f aca="false">IF(AND(ISNUMBER(AA222),ISNUMBER(D222),D222&gt;0),AA222/D222*100,"")</f>
        <v>0</v>
      </c>
      <c r="AD222" s="12"/>
      <c r="AE222" s="8" t="s">
        <v>74</v>
      </c>
      <c r="AF222" s="8" t="s">
        <v>77</v>
      </c>
      <c r="AG222" s="12" t="n">
        <v>350</v>
      </c>
      <c r="AH222" s="12" t="n">
        <v>431</v>
      </c>
      <c r="AI222" s="12" t="n">
        <v>531</v>
      </c>
      <c r="AJ222" s="12" t="n">
        <v>586</v>
      </c>
      <c r="AK222" s="8" t="n">
        <v>32</v>
      </c>
      <c r="AL222" s="10" t="n">
        <v>1.3</v>
      </c>
      <c r="AM222" s="8" t="s">
        <v>77</v>
      </c>
      <c r="AN222" s="12"/>
      <c r="AO222" s="8" t="s">
        <v>74</v>
      </c>
      <c r="AP222" s="8" t="s">
        <v>74</v>
      </c>
      <c r="AQ222" s="10"/>
      <c r="AR222" s="8" t="n">
        <v>3</v>
      </c>
      <c r="AS222" s="8" t="n">
        <v>0</v>
      </c>
      <c r="AT222" s="8" t="n">
        <v>3</v>
      </c>
      <c r="AU222" s="8" t="n">
        <v>3</v>
      </c>
      <c r="AV222" s="8" t="n">
        <v>4</v>
      </c>
      <c r="AW222" s="8" t="n">
        <v>5</v>
      </c>
      <c r="AX222" s="8" t="n">
        <v>1</v>
      </c>
      <c r="AY222" s="8" t="n">
        <v>2</v>
      </c>
      <c r="AZ222" s="8" t="n">
        <v>5</v>
      </c>
      <c r="BA222" s="8" t="n">
        <v>4</v>
      </c>
      <c r="BB222" s="8" t="n">
        <v>3</v>
      </c>
      <c r="BC222" s="8" t="n">
        <v>5</v>
      </c>
      <c r="BD222" s="8" t="n">
        <v>1</v>
      </c>
      <c r="BE222" s="8" t="n">
        <v>1</v>
      </c>
      <c r="BF222" s="8" t="n">
        <v>3</v>
      </c>
      <c r="BG222" s="8" t="n">
        <v>3</v>
      </c>
      <c r="BH222" s="8" t="n">
        <v>4</v>
      </c>
      <c r="BI222" s="8" t="n">
        <v>3</v>
      </c>
      <c r="BJ222" s="9" t="n">
        <v>0</v>
      </c>
      <c r="BK222" s="9" t="n">
        <v>0</v>
      </c>
      <c r="BL222" s="9" t="n">
        <v>0</v>
      </c>
      <c r="BM222" s="9" t="n">
        <v>1</v>
      </c>
      <c r="BN222" s="10" t="n">
        <v>0</v>
      </c>
      <c r="BO222" s="10" t="n">
        <v>0</v>
      </c>
      <c r="BP222" s="10" t="n">
        <f aca="false">IF(AND(ISNUMBER(BN222),ISNUMBER(BO222)),BN222+BO222,"")</f>
        <v>0</v>
      </c>
      <c r="BQ222" s="10" t="n">
        <v>0</v>
      </c>
      <c r="BR222" s="10" t="n">
        <v>1</v>
      </c>
      <c r="BS222" s="10" t="n">
        <v>0</v>
      </c>
    </row>
    <row r="223" customFormat="false" ht="15" hidden="false" customHeight="false" outlineLevel="0" collapsed="false">
      <c r="A223" s="8" t="s">
        <v>100</v>
      </c>
      <c r="B223" s="8" t="s">
        <v>123</v>
      </c>
      <c r="C223" s="8" t="n">
        <v>6</v>
      </c>
      <c r="D223" s="9" t="n">
        <v>525</v>
      </c>
      <c r="E223" s="9" t="n">
        <v>72</v>
      </c>
      <c r="F223" s="8" t="s">
        <v>81</v>
      </c>
      <c r="G223" s="8" t="s">
        <v>74</v>
      </c>
      <c r="H223" s="10" t="n">
        <v>0</v>
      </c>
      <c r="I223" s="10" t="n">
        <v>0.016</v>
      </c>
      <c r="J223" s="10" t="n">
        <v>0.007</v>
      </c>
      <c r="K223" s="8" t="n">
        <v>0</v>
      </c>
      <c r="L223" s="8" t="n">
        <v>5</v>
      </c>
      <c r="M223" s="10" t="n">
        <v>0.025</v>
      </c>
      <c r="N223" s="8" t="n">
        <v>0</v>
      </c>
      <c r="O223" s="9" t="n">
        <v>78</v>
      </c>
      <c r="P223" s="10" t="n">
        <f aca="false">IF(AND(ISNUMBER(O223),ISNUMBER(D223),D223&gt;0),O223/D223,"")</f>
        <v>0.148571428571429</v>
      </c>
      <c r="Q223" s="9" t="n">
        <v>5</v>
      </c>
      <c r="R223" s="9" t="n">
        <v>4</v>
      </c>
      <c r="S223" s="9" t="n">
        <v>211</v>
      </c>
      <c r="T223" s="11" t="n">
        <f aca="false">IF(AND(ISNUMBER(S223),ISNUMBER(D223),D223&gt;0),S223/D223,"")</f>
        <v>0.401904761904762</v>
      </c>
      <c r="U223" s="10" t="n">
        <v>0.07</v>
      </c>
      <c r="V223" s="10" t="n">
        <v>0.07</v>
      </c>
      <c r="W223" s="10" t="n">
        <v>0.07</v>
      </c>
      <c r="X223" s="10" t="n">
        <v>0.1</v>
      </c>
      <c r="Y223" s="8" t="n">
        <v>0</v>
      </c>
      <c r="Z223" s="8" t="s">
        <v>74</v>
      </c>
      <c r="AA223" s="8" t="n">
        <v>12</v>
      </c>
      <c r="AB223" s="8" t="n">
        <v>0</v>
      </c>
      <c r="AC223" s="11" t="n">
        <f aca="false">IF(AND(ISNUMBER(AA223),ISNUMBER(D223),D223&gt;0),AA223/D223*100,"")</f>
        <v>2.28571428571429</v>
      </c>
      <c r="AD223" s="12" t="n">
        <v>8000</v>
      </c>
      <c r="AE223" s="8" t="s">
        <v>74</v>
      </c>
      <c r="AF223" s="8" t="s">
        <v>77</v>
      </c>
      <c r="AG223" s="12" t="n">
        <v>370.1</v>
      </c>
      <c r="AH223" s="12" t="n">
        <v>445.8</v>
      </c>
      <c r="AI223" s="12" t="n">
        <v>496.28</v>
      </c>
      <c r="AJ223" s="12" t="n">
        <v>529.92</v>
      </c>
      <c r="AK223" s="8" t="n">
        <v>26</v>
      </c>
      <c r="AL223" s="10" t="n">
        <v>0.6</v>
      </c>
      <c r="AM223" s="8" t="s">
        <v>77</v>
      </c>
      <c r="AN223" s="12"/>
      <c r="AO223" s="8" t="s">
        <v>77</v>
      </c>
      <c r="AP223" s="8" t="s">
        <v>74</v>
      </c>
      <c r="AQ223" s="10" t="n">
        <v>0.9</v>
      </c>
      <c r="AR223" s="8" t="n">
        <v>4</v>
      </c>
      <c r="AS223" s="8" t="n">
        <v>2</v>
      </c>
      <c r="AT223" s="8" t="n">
        <v>1</v>
      </c>
      <c r="AU223" s="8" t="n">
        <v>4</v>
      </c>
      <c r="AV223" s="8" t="n">
        <v>1</v>
      </c>
      <c r="AW223" s="8" t="n">
        <v>1</v>
      </c>
      <c r="AX223" s="8" t="n">
        <v>1</v>
      </c>
      <c r="AY223" s="8" t="n">
        <v>2</v>
      </c>
      <c r="AZ223" s="8" t="n">
        <v>2</v>
      </c>
      <c r="BA223" s="8" t="n">
        <v>4</v>
      </c>
      <c r="BB223" s="8" t="n">
        <v>3</v>
      </c>
      <c r="BC223" s="8" t="n">
        <v>3</v>
      </c>
      <c r="BD223" s="8" t="n">
        <v>2</v>
      </c>
      <c r="BE223" s="8" t="n">
        <v>2</v>
      </c>
      <c r="BF223" s="8" t="n">
        <v>1</v>
      </c>
      <c r="BG223" s="8" t="n">
        <v>2</v>
      </c>
      <c r="BH223" s="8" t="n">
        <v>4</v>
      </c>
      <c r="BI223" s="8" t="n">
        <v>3</v>
      </c>
      <c r="BJ223" s="9" t="n">
        <v>22</v>
      </c>
      <c r="BK223" s="9" t="n">
        <v>0</v>
      </c>
      <c r="BL223" s="9" t="n">
        <v>9</v>
      </c>
      <c r="BM223" s="9" t="n">
        <v>1</v>
      </c>
      <c r="BN223" s="10" t="n">
        <v>0.7</v>
      </c>
      <c r="BO223" s="10" t="n">
        <v>0.1</v>
      </c>
      <c r="BP223" s="10" t="n">
        <f aca="false">IF(AND(ISNUMBER(BN223),ISNUMBER(BO223)),BN223+BO223,"")</f>
        <v>0.8</v>
      </c>
      <c r="BQ223" s="10" t="n">
        <v>0.2</v>
      </c>
      <c r="BR223" s="10" t="n">
        <v>0</v>
      </c>
      <c r="BS223" s="10" t="n">
        <v>0</v>
      </c>
    </row>
    <row r="224" customFormat="false" ht="15" hidden="false" customHeight="false" outlineLevel="0" collapsed="false">
      <c r="A224" s="8" t="s">
        <v>101</v>
      </c>
      <c r="B224" s="8" t="s">
        <v>123</v>
      </c>
      <c r="C224" s="8" t="n">
        <v>6</v>
      </c>
      <c r="D224" s="9" t="n">
        <v>317</v>
      </c>
      <c r="E224" s="9" t="n">
        <v>158</v>
      </c>
      <c r="F224" s="8" t="s">
        <v>92</v>
      </c>
      <c r="G224" s="8" t="s">
        <v>74</v>
      </c>
      <c r="H224" s="10"/>
      <c r="I224" s="10" t="n">
        <v>0.045</v>
      </c>
      <c r="J224" s="10" t="n">
        <v>0.009</v>
      </c>
      <c r="K224" s="8" t="n">
        <v>0</v>
      </c>
      <c r="L224" s="8" t="n">
        <v>7</v>
      </c>
      <c r="M224" s="10"/>
      <c r="N224" s="8" t="n">
        <v>0</v>
      </c>
      <c r="O224" s="9" t="n">
        <v>31</v>
      </c>
      <c r="P224" s="10" t="n">
        <f aca="false">IF(AND(ISNUMBER(O224),ISNUMBER(D224),D224&gt;0),O224/D224,"")</f>
        <v>0.0977917981072555</v>
      </c>
      <c r="Q224" s="9"/>
      <c r="R224" s="9" t="n">
        <v>30</v>
      </c>
      <c r="S224" s="9" t="n">
        <v>217</v>
      </c>
      <c r="T224" s="11" t="n">
        <f aca="false">IF(AND(ISNUMBER(S224),ISNUMBER(D224),D224&gt;0),S224/D224,"")</f>
        <v>0.684542586750789</v>
      </c>
      <c r="U224" s="10" t="n">
        <v>0.07</v>
      </c>
      <c r="V224" s="10" t="n">
        <v>0.07</v>
      </c>
      <c r="W224" s="10" t="n">
        <v>0.06</v>
      </c>
      <c r="X224" s="10" t="n">
        <v>0.12</v>
      </c>
      <c r="Y224" s="8" t="n">
        <v>0</v>
      </c>
      <c r="Z224" s="8" t="s">
        <v>74</v>
      </c>
      <c r="AA224" s="8" t="n">
        <v>27</v>
      </c>
      <c r="AB224" s="8" t="n">
        <v>0</v>
      </c>
      <c r="AC224" s="11" t="n">
        <f aca="false">IF(AND(ISNUMBER(AA224),ISNUMBER(D224),D224&gt;0),AA224/D224*100,"")</f>
        <v>8.51735015772871</v>
      </c>
      <c r="AD224" s="12" t="n">
        <v>2500</v>
      </c>
      <c r="AE224" s="8" t="s">
        <v>74</v>
      </c>
      <c r="AF224" s="8" t="s">
        <v>77</v>
      </c>
      <c r="AG224" s="12" t="n">
        <v>331.35</v>
      </c>
      <c r="AH224" s="12" t="n">
        <v>357.72</v>
      </c>
      <c r="AI224" s="12" t="n">
        <v>374.64</v>
      </c>
      <c r="AJ224" s="12" t="n">
        <v>453.31</v>
      </c>
      <c r="AK224" s="8" t="n">
        <v>15</v>
      </c>
      <c r="AL224" s="10" t="n">
        <v>0.25</v>
      </c>
      <c r="AM224" s="8" t="s">
        <v>74</v>
      </c>
      <c r="AN224" s="12" t="n">
        <v>62</v>
      </c>
      <c r="AO224" s="8" t="s">
        <v>77</v>
      </c>
      <c r="AP224" s="8" t="s">
        <v>74</v>
      </c>
      <c r="AQ224" s="10" t="n">
        <v>0.97</v>
      </c>
      <c r="AR224" s="8" t="n">
        <v>2</v>
      </c>
      <c r="AS224" s="8" t="n">
        <v>3</v>
      </c>
      <c r="AT224" s="8" t="n">
        <v>3</v>
      </c>
      <c r="AU224" s="8" t="n">
        <v>2</v>
      </c>
      <c r="AV224" s="8" t="n">
        <v>3</v>
      </c>
      <c r="AW224" s="8" t="n">
        <v>3</v>
      </c>
      <c r="AX224" s="8" t="n">
        <v>3</v>
      </c>
      <c r="AY224" s="8" t="n">
        <v>2</v>
      </c>
      <c r="AZ224" s="8" t="n">
        <v>1</v>
      </c>
      <c r="BA224" s="8" t="n">
        <v>2</v>
      </c>
      <c r="BB224" s="8" t="n">
        <v>1</v>
      </c>
      <c r="BC224" s="8" t="n">
        <v>4</v>
      </c>
      <c r="BD224" s="8" t="n">
        <v>3</v>
      </c>
      <c r="BE224" s="8" t="n">
        <v>3</v>
      </c>
      <c r="BF224" s="8" t="n">
        <v>1</v>
      </c>
      <c r="BG224" s="8" t="n">
        <v>1</v>
      </c>
      <c r="BH224" s="8" t="n">
        <v>5</v>
      </c>
      <c r="BI224" s="8" t="n">
        <v>5</v>
      </c>
      <c r="BJ224" s="9" t="n">
        <v>12</v>
      </c>
      <c r="BK224" s="9" t="n">
        <v>13</v>
      </c>
      <c r="BL224" s="9" t="n">
        <v>3</v>
      </c>
      <c r="BM224" s="9" t="n">
        <v>6</v>
      </c>
      <c r="BN224" s="10" t="n">
        <v>0.1</v>
      </c>
      <c r="BO224" s="10" t="n">
        <v>0.8</v>
      </c>
      <c r="BP224" s="10" t="n">
        <f aca="false">IF(AND(ISNUMBER(BN224),ISNUMBER(BO224)),BN224+BO224,"")</f>
        <v>0.9</v>
      </c>
      <c r="BQ224" s="10" t="n">
        <v>0.1</v>
      </c>
      <c r="BR224" s="10" t="n">
        <v>0</v>
      </c>
      <c r="BS224" s="10" t="n">
        <v>0</v>
      </c>
    </row>
    <row r="225" customFormat="false" ht="15" hidden="false" customHeight="false" outlineLevel="0" collapsed="false">
      <c r="A225" s="8" t="s">
        <v>102</v>
      </c>
      <c r="B225" s="8" t="s">
        <v>123</v>
      </c>
      <c r="C225" s="8" t="n">
        <v>6</v>
      </c>
      <c r="D225" s="9" t="n">
        <v>824</v>
      </c>
      <c r="E225" s="9" t="n">
        <v>76</v>
      </c>
      <c r="F225" s="8" t="s">
        <v>92</v>
      </c>
      <c r="G225" s="8" t="s">
        <v>74</v>
      </c>
      <c r="H225" s="10" t="n">
        <v>0.2</v>
      </c>
      <c r="I225" s="10" t="n">
        <v>0.047</v>
      </c>
      <c r="J225" s="10" t="n">
        <v>0.018</v>
      </c>
      <c r="K225" s="8" t="n">
        <v>0</v>
      </c>
      <c r="L225" s="8" t="n">
        <v>5</v>
      </c>
      <c r="M225" s="10" t="n">
        <v>0.01</v>
      </c>
      <c r="N225" s="8" t="n">
        <v>0</v>
      </c>
      <c r="O225" s="9" t="n">
        <v>138</v>
      </c>
      <c r="P225" s="10" t="n">
        <f aca="false">IF(AND(ISNUMBER(O225),ISNUMBER(D225),D225&gt;0),O225/D225,"")</f>
        <v>0.16747572815534</v>
      </c>
      <c r="Q225" s="9" t="n">
        <v>216</v>
      </c>
      <c r="R225" s="9" t="n">
        <v>174</v>
      </c>
      <c r="S225" s="9" t="n">
        <v>964</v>
      </c>
      <c r="T225" s="11" t="n">
        <f aca="false">IF(AND(ISNUMBER(S225),ISNUMBER(D225),D225&gt;0),S225/D225,"")</f>
        <v>1.16990291262136</v>
      </c>
      <c r="U225" s="10" t="n">
        <v>0.07</v>
      </c>
      <c r="V225" s="10" t="n">
        <v>0.12</v>
      </c>
      <c r="W225" s="10" t="n">
        <v>0.08</v>
      </c>
      <c r="X225" s="10" t="n">
        <v>0.2</v>
      </c>
      <c r="Y225" s="8" t="n">
        <v>1</v>
      </c>
      <c r="Z225" s="8" t="s">
        <v>74</v>
      </c>
      <c r="AA225" s="8" t="n">
        <v>30</v>
      </c>
      <c r="AB225" s="8" t="n">
        <v>0</v>
      </c>
      <c r="AC225" s="11" t="n">
        <f aca="false">IF(AND(ISNUMBER(AA225),ISNUMBER(D225),D225&gt;0),AA225/D225*100,"")</f>
        <v>3.64077669902913</v>
      </c>
      <c r="AD225" s="12" t="n">
        <v>1333</v>
      </c>
      <c r="AE225" s="8" t="s">
        <v>74</v>
      </c>
      <c r="AF225" s="8" t="s">
        <v>77</v>
      </c>
      <c r="AG225" s="12" t="n">
        <v>354.68</v>
      </c>
      <c r="AH225" s="12" t="n">
        <v>562.4</v>
      </c>
      <c r="AI225" s="12" t="n">
        <v>582.8</v>
      </c>
      <c r="AJ225" s="12" t="n">
        <v>776.4</v>
      </c>
      <c r="AK225" s="8" t="n">
        <v>20</v>
      </c>
      <c r="AL225" s="10" t="n">
        <v>0.5</v>
      </c>
      <c r="AM225" s="8" t="s">
        <v>77</v>
      </c>
      <c r="AN225" s="12"/>
      <c r="AO225" s="8" t="s">
        <v>77</v>
      </c>
      <c r="AP225" s="8" t="s">
        <v>74</v>
      </c>
      <c r="AQ225" s="10" t="n">
        <v>0.95</v>
      </c>
      <c r="AR225" s="8" t="n">
        <v>3</v>
      </c>
      <c r="AS225" s="8" t="n">
        <v>1</v>
      </c>
      <c r="AT225" s="8" t="n">
        <v>2</v>
      </c>
      <c r="AU225" s="8" t="n">
        <v>2</v>
      </c>
      <c r="AV225" s="8" t="n">
        <v>3</v>
      </c>
      <c r="AW225" s="8" t="n">
        <v>4</v>
      </c>
      <c r="AX225" s="8" t="n">
        <v>0</v>
      </c>
      <c r="AY225" s="8" t="n">
        <v>1</v>
      </c>
      <c r="AZ225" s="8" t="n">
        <v>3</v>
      </c>
      <c r="BA225" s="8" t="n">
        <v>3</v>
      </c>
      <c r="BB225" s="8" t="n">
        <v>2</v>
      </c>
      <c r="BC225" s="8" t="n">
        <v>3</v>
      </c>
      <c r="BD225" s="8" t="n">
        <v>1</v>
      </c>
      <c r="BE225" s="8" t="n">
        <v>1</v>
      </c>
      <c r="BF225" s="8" t="n">
        <v>1</v>
      </c>
      <c r="BG225" s="8" t="n">
        <v>1</v>
      </c>
      <c r="BH225" s="8" t="n">
        <v>3</v>
      </c>
      <c r="BI225" s="8" t="n">
        <v>3</v>
      </c>
      <c r="BJ225" s="9" t="n">
        <v>66</v>
      </c>
      <c r="BK225" s="9" t="n">
        <v>89</v>
      </c>
      <c r="BL225" s="9" t="n">
        <v>24</v>
      </c>
      <c r="BM225" s="9" t="n">
        <v>11</v>
      </c>
      <c r="BN225" s="10" t="n">
        <v>0.5</v>
      </c>
      <c r="BO225" s="10" t="n">
        <v>0.3</v>
      </c>
      <c r="BP225" s="10" t="n">
        <f aca="false">IF(AND(ISNUMBER(BN225),ISNUMBER(BO225)),BN225+BO225,"")</f>
        <v>0.8</v>
      </c>
      <c r="BQ225" s="10" t="n">
        <v>0.1</v>
      </c>
      <c r="BR225" s="10" t="n">
        <v>0.1</v>
      </c>
      <c r="BS225" s="10" t="n">
        <v>0</v>
      </c>
    </row>
    <row r="226" customFormat="false" ht="15" hidden="false" customHeight="false" outlineLevel="0" collapsed="false">
      <c r="A226" s="8" t="s">
        <v>103</v>
      </c>
      <c r="B226" s="8" t="s">
        <v>123</v>
      </c>
      <c r="C226" s="8" t="n">
        <v>6</v>
      </c>
      <c r="D226" s="9" t="n">
        <v>490</v>
      </c>
      <c r="E226" s="9" t="n">
        <v>91</v>
      </c>
      <c r="F226" s="8" t="s">
        <v>92</v>
      </c>
      <c r="G226" s="8" t="s">
        <v>74</v>
      </c>
      <c r="H226" s="10" t="n">
        <v>0</v>
      </c>
      <c r="I226" s="10" t="n">
        <v>0.024</v>
      </c>
      <c r="J226" s="10" t="n">
        <v>0.05</v>
      </c>
      <c r="K226" s="8" t="n">
        <v>0</v>
      </c>
      <c r="L226" s="8" t="n">
        <v>2</v>
      </c>
      <c r="M226" s="10" t="n">
        <v>0.024</v>
      </c>
      <c r="N226" s="8" t="n">
        <v>0</v>
      </c>
      <c r="O226" s="9" t="n">
        <v>57</v>
      </c>
      <c r="P226" s="10" t="n">
        <f aca="false">IF(AND(ISNUMBER(O226),ISNUMBER(D226),D226&gt;0),O226/D226,"")</f>
        <v>0.116326530612245</v>
      </c>
      <c r="Q226" s="9" t="n">
        <v>0</v>
      </c>
      <c r="R226" s="9" t="n">
        <v>0</v>
      </c>
      <c r="S226" s="9" t="n">
        <v>481</v>
      </c>
      <c r="T226" s="11" t="n">
        <f aca="false">IF(AND(ISNUMBER(S226),ISNUMBER(D226),D226&gt;0),S226/D226,"")</f>
        <v>0.981632653061225</v>
      </c>
      <c r="U226" s="10" t="n">
        <v>0.071</v>
      </c>
      <c r="V226" s="10" t="n">
        <v>0.1</v>
      </c>
      <c r="W226" s="10" t="n">
        <v>0.085</v>
      </c>
      <c r="X226" s="10" t="n">
        <v>0.07</v>
      </c>
      <c r="Y226" s="8" t="n">
        <v>0</v>
      </c>
      <c r="Z226" s="8" t="s">
        <v>74</v>
      </c>
      <c r="AA226" s="8" t="n">
        <v>15</v>
      </c>
      <c r="AB226" s="8" t="n">
        <v>0</v>
      </c>
      <c r="AC226" s="11" t="n">
        <f aca="false">IF(AND(ISNUMBER(AA226),ISNUMBER(D226),D226&gt;0),AA226/D226*100,"")</f>
        <v>3.06122448979592</v>
      </c>
      <c r="AD226" s="12" t="n">
        <v>998</v>
      </c>
      <c r="AE226" s="8"/>
      <c r="AF226" s="8" t="s">
        <v>77</v>
      </c>
      <c r="AG226" s="12" t="n">
        <v>332</v>
      </c>
      <c r="AH226" s="12" t="n">
        <v>359</v>
      </c>
      <c r="AI226" s="12" t="n">
        <v>403</v>
      </c>
      <c r="AJ226" s="12" t="n">
        <v>432</v>
      </c>
      <c r="AK226" s="8" t="n">
        <v>23</v>
      </c>
      <c r="AL226" s="10" t="n">
        <v>0.3</v>
      </c>
      <c r="AM226" s="8" t="s">
        <v>74</v>
      </c>
      <c r="AN226" s="12" t="n">
        <v>28</v>
      </c>
      <c r="AO226" s="8" t="s">
        <v>77</v>
      </c>
      <c r="AP226" s="8" t="s">
        <v>74</v>
      </c>
      <c r="AQ226" s="10" t="n">
        <v>0.83</v>
      </c>
      <c r="AR226" s="8" t="n">
        <v>2</v>
      </c>
      <c r="AS226" s="8" t="n">
        <v>2</v>
      </c>
      <c r="AT226" s="8" t="n">
        <v>0</v>
      </c>
      <c r="AU226" s="8" t="n">
        <v>1</v>
      </c>
      <c r="AV226" s="8" t="n">
        <v>0</v>
      </c>
      <c r="AW226" s="8" t="n">
        <v>0</v>
      </c>
      <c r="AX226" s="8" t="n">
        <v>1</v>
      </c>
      <c r="AY226" s="8" t="n">
        <v>1</v>
      </c>
      <c r="AZ226" s="8" t="n">
        <v>1</v>
      </c>
      <c r="BA226" s="8" t="n">
        <v>1</v>
      </c>
      <c r="BB226" s="8" t="n">
        <v>1</v>
      </c>
      <c r="BC226" s="8" t="n">
        <v>1</v>
      </c>
      <c r="BD226" s="8" t="n">
        <v>2</v>
      </c>
      <c r="BE226" s="8" t="n">
        <v>1</v>
      </c>
      <c r="BF226" s="8" t="n">
        <v>0</v>
      </c>
      <c r="BG226" s="8" t="n">
        <v>1</v>
      </c>
      <c r="BH226" s="8" t="n">
        <v>3</v>
      </c>
      <c r="BI226" s="8" t="n">
        <v>3</v>
      </c>
      <c r="BJ226" s="9" t="n">
        <v>13</v>
      </c>
      <c r="BK226" s="9" t="n">
        <v>1</v>
      </c>
      <c r="BL226" s="9"/>
      <c r="BM226" s="9" t="n">
        <v>45</v>
      </c>
      <c r="BN226" s="10" t="n">
        <v>0.3</v>
      </c>
      <c r="BO226" s="10" t="n">
        <v>0.3</v>
      </c>
      <c r="BP226" s="10" t="n">
        <f aca="false">IF(AND(ISNUMBER(BN226),ISNUMBER(BO226)),BN226+BO226,"")</f>
        <v>0.6</v>
      </c>
      <c r="BQ226" s="10" t="n">
        <v>0.2</v>
      </c>
      <c r="BR226" s="10" t="n">
        <v>0.1</v>
      </c>
      <c r="BS226" s="10" t="n">
        <v>0.1</v>
      </c>
    </row>
    <row r="227" customFormat="false" ht="15" hidden="false" customHeight="false" outlineLevel="0" collapsed="false">
      <c r="A227" s="8" t="s">
        <v>104</v>
      </c>
      <c r="B227" s="8" t="s">
        <v>123</v>
      </c>
      <c r="C227" s="8" t="n">
        <v>6</v>
      </c>
      <c r="D227" s="9" t="n">
        <v>439</v>
      </c>
      <c r="E227" s="9" t="n">
        <v>35</v>
      </c>
      <c r="F227" s="8" t="s">
        <v>76</v>
      </c>
      <c r="G227" s="8" t="s">
        <v>74</v>
      </c>
      <c r="H227" s="10"/>
      <c r="I227" s="10" t="n">
        <v>0.012</v>
      </c>
      <c r="J227" s="10" t="n">
        <v>0.1</v>
      </c>
      <c r="K227" s="8" t="n">
        <v>0</v>
      </c>
      <c r="L227" s="8"/>
      <c r="M227" s="10" t="n">
        <v>0.1</v>
      </c>
      <c r="N227" s="8" t="n">
        <v>0</v>
      </c>
      <c r="O227" s="9" t="n">
        <v>120</v>
      </c>
      <c r="P227" s="10" t="n">
        <f aca="false">IF(AND(ISNUMBER(O227),ISNUMBER(D227),D227&gt;0),O227/D227,"")</f>
        <v>0.273348519362187</v>
      </c>
      <c r="Q227" s="9"/>
      <c r="R227" s="9" t="n">
        <v>90</v>
      </c>
      <c r="S227" s="9" t="n">
        <v>134</v>
      </c>
      <c r="T227" s="11" t="n">
        <f aca="false">IF(AND(ISNUMBER(S227),ISNUMBER(D227),D227&gt;0),S227/D227,"")</f>
        <v>0.305239179954442</v>
      </c>
      <c r="U227" s="10" t="n">
        <v>0.06</v>
      </c>
      <c r="V227" s="10" t="n">
        <v>0.105</v>
      </c>
      <c r="W227" s="10" t="n">
        <v>0.12</v>
      </c>
      <c r="X227" s="10" t="n">
        <v>0.005</v>
      </c>
      <c r="Y227" s="8" t="n">
        <v>1</v>
      </c>
      <c r="Z227" s="8" t="s">
        <v>77</v>
      </c>
      <c r="AA227" s="8" t="n">
        <v>0</v>
      </c>
      <c r="AB227" s="8" t="n">
        <v>0</v>
      </c>
      <c r="AC227" s="11" t="n">
        <f aca="false">IF(AND(ISNUMBER(AA227),ISNUMBER(D227),D227&gt;0),AA227/D227*100,"")</f>
        <v>0</v>
      </c>
      <c r="AD227" s="12"/>
      <c r="AE227" s="8" t="s">
        <v>77</v>
      </c>
      <c r="AF227" s="8" t="s">
        <v>74</v>
      </c>
      <c r="AG227" s="12" t="n">
        <v>226</v>
      </c>
      <c r="AH227" s="12" t="n">
        <v>248.5</v>
      </c>
      <c r="AI227" s="12" t="n">
        <v>282</v>
      </c>
      <c r="AJ227" s="12" t="n">
        <v>423.5</v>
      </c>
      <c r="AK227" s="8" t="n">
        <v>32</v>
      </c>
      <c r="AL227" s="10" t="n">
        <v>0.5</v>
      </c>
      <c r="AM227" s="8" t="s">
        <v>77</v>
      </c>
      <c r="AN227" s="12"/>
      <c r="AO227" s="8" t="s">
        <v>77</v>
      </c>
      <c r="AP227" s="8" t="s">
        <v>74</v>
      </c>
      <c r="AQ227" s="10"/>
      <c r="AR227" s="8" t="n">
        <v>1</v>
      </c>
      <c r="AS227" s="8" t="n">
        <v>1</v>
      </c>
      <c r="AT227" s="8" t="n">
        <v>2</v>
      </c>
      <c r="AU227" s="8" t="n">
        <v>3</v>
      </c>
      <c r="AV227" s="8" t="n">
        <v>1</v>
      </c>
      <c r="AW227" s="8" t="n">
        <v>1</v>
      </c>
      <c r="AX227" s="8" t="n">
        <v>2</v>
      </c>
      <c r="AY227" s="8" t="n">
        <v>1</v>
      </c>
      <c r="AZ227" s="8" t="n">
        <v>1</v>
      </c>
      <c r="BA227" s="8" t="n">
        <v>1</v>
      </c>
      <c r="BB227" s="8" t="n">
        <v>3</v>
      </c>
      <c r="BC227" s="8" t="n">
        <v>3</v>
      </c>
      <c r="BD227" s="8" t="n">
        <v>1</v>
      </c>
      <c r="BE227" s="8" t="n">
        <v>1</v>
      </c>
      <c r="BF227" s="8" t="n">
        <v>0</v>
      </c>
      <c r="BG227" s="8" t="n">
        <v>0</v>
      </c>
      <c r="BH227" s="8" t="n">
        <v>4</v>
      </c>
      <c r="BI227" s="8" t="n">
        <v>5</v>
      </c>
      <c r="BJ227" s="9" t="n">
        <v>48</v>
      </c>
      <c r="BK227" s="9" t="n">
        <v>57</v>
      </c>
      <c r="BL227" s="9" t="n">
        <v>10</v>
      </c>
      <c r="BM227" s="9" t="n">
        <v>2</v>
      </c>
      <c r="BN227" s="10" t="n">
        <v>0.4</v>
      </c>
      <c r="BO227" s="10" t="n">
        <v>0.3</v>
      </c>
      <c r="BP227" s="10" t="n">
        <f aca="false">IF(AND(ISNUMBER(BN227),ISNUMBER(BO227)),BN227+BO227,"")</f>
        <v>0.7</v>
      </c>
      <c r="BQ227" s="10" t="n">
        <v>0.2</v>
      </c>
      <c r="BR227" s="10" t="n">
        <v>0.1</v>
      </c>
      <c r="BS227" s="10" t="n">
        <v>0</v>
      </c>
    </row>
    <row r="228" customFormat="false" ht="15" hidden="false" customHeight="false" outlineLevel="0" collapsed="false">
      <c r="A228" s="8" t="s">
        <v>105</v>
      </c>
      <c r="B228" s="8" t="s">
        <v>123</v>
      </c>
      <c r="C228" s="8" t="n">
        <v>6</v>
      </c>
      <c r="D228" s="9" t="n">
        <v>0</v>
      </c>
      <c r="E228" s="9" t="n">
        <v>12</v>
      </c>
      <c r="F228" s="8" t="s">
        <v>94</v>
      </c>
      <c r="G228" s="8" t="s">
        <v>77</v>
      </c>
      <c r="H228" s="10"/>
      <c r="I228" s="10" t="n">
        <v>0.001</v>
      </c>
      <c r="J228" s="10"/>
      <c r="K228" s="8" t="n">
        <v>0</v>
      </c>
      <c r="L228" s="8"/>
      <c r="M228" s="10" t="n">
        <v>0.001</v>
      </c>
      <c r="N228" s="8" t="n">
        <v>0</v>
      </c>
      <c r="O228" s="9" t="n">
        <v>0</v>
      </c>
      <c r="P228" s="10" t="str">
        <f aca="false">IF(AND(ISNUMBER(O228),ISNUMBER(D228),D228&gt;0),O228/D228,"")</f>
        <v/>
      </c>
      <c r="Q228" s="9" t="n">
        <v>0</v>
      </c>
      <c r="R228" s="9" t="n">
        <v>0</v>
      </c>
      <c r="S228" s="9" t="n">
        <v>0</v>
      </c>
      <c r="T228" s="11" t="str">
        <f aca="false">IF(AND(ISNUMBER(S228),ISNUMBER(D228),D228&gt;0),S228/D228,"")</f>
        <v/>
      </c>
      <c r="U228" s="10"/>
      <c r="V228" s="10"/>
      <c r="W228" s="10"/>
      <c r="X228" s="10"/>
      <c r="Y228" s="8" t="n">
        <v>0</v>
      </c>
      <c r="Z228" s="8" t="s">
        <v>77</v>
      </c>
      <c r="AA228" s="8" t="n">
        <v>0</v>
      </c>
      <c r="AB228" s="8" t="n">
        <v>0</v>
      </c>
      <c r="AC228" s="11" t="str">
        <f aca="false">IF(AND(ISNUMBER(AA228),ISNUMBER(D228),D228&gt;0),AA228/D228*100,"")</f>
        <v/>
      </c>
      <c r="AD228" s="12"/>
      <c r="AE228" s="8"/>
      <c r="AF228" s="8" t="s">
        <v>77</v>
      </c>
      <c r="AG228" s="12" t="n">
        <v>633.33</v>
      </c>
      <c r="AH228" s="12" t="n">
        <v>766.66</v>
      </c>
      <c r="AI228" s="12" t="n">
        <v>850</v>
      </c>
      <c r="AJ228" s="12" t="n">
        <v>900</v>
      </c>
      <c r="AK228" s="8"/>
      <c r="AL228" s="10"/>
      <c r="AM228" s="8" t="s">
        <v>77</v>
      </c>
      <c r="AN228" s="12"/>
      <c r="AO228" s="8" t="s">
        <v>77</v>
      </c>
      <c r="AP228" s="8"/>
      <c r="AQ228" s="10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9" t="n">
        <v>0</v>
      </c>
      <c r="BK228" s="9" t="n">
        <v>0</v>
      </c>
      <c r="BL228" s="9" t="n">
        <v>0</v>
      </c>
      <c r="BM228" s="9" t="n">
        <v>0</v>
      </c>
      <c r="BN228" s="10"/>
      <c r="BO228" s="10"/>
      <c r="BP228" s="10" t="str">
        <f aca="false">IF(AND(ISNUMBER(BN228),ISNUMBER(BO228)),BN228+BO228,"")</f>
        <v/>
      </c>
      <c r="BQ228" s="10"/>
      <c r="BR228" s="10"/>
      <c r="BS228" s="10"/>
    </row>
    <row r="229" customFormat="false" ht="15" hidden="false" customHeight="false" outlineLevel="0" collapsed="false">
      <c r="A229" s="8" t="s">
        <v>106</v>
      </c>
      <c r="B229" s="8" t="s">
        <v>123</v>
      </c>
      <c r="C229" s="8" t="n">
        <v>6</v>
      </c>
      <c r="D229" s="9" t="n">
        <v>1540</v>
      </c>
      <c r="E229" s="9" t="n">
        <v>446</v>
      </c>
      <c r="F229" s="8" t="s">
        <v>81</v>
      </c>
      <c r="G229" s="8" t="s">
        <v>74</v>
      </c>
      <c r="H229" s="10"/>
      <c r="I229" s="10" t="n">
        <v>0.045</v>
      </c>
      <c r="J229" s="10" t="n">
        <v>0.026</v>
      </c>
      <c r="K229" s="8" t="n">
        <v>0</v>
      </c>
      <c r="L229" s="8" t="n">
        <v>5</v>
      </c>
      <c r="M229" s="10" t="n">
        <v>0.051</v>
      </c>
      <c r="N229" s="8" t="n">
        <v>0</v>
      </c>
      <c r="O229" s="9" t="n">
        <v>140</v>
      </c>
      <c r="P229" s="10" t="n">
        <f aca="false">IF(AND(ISNUMBER(O229),ISNUMBER(D229),D229&gt;0),O229/D229,"")</f>
        <v>0.0909090909090909</v>
      </c>
      <c r="Q229" s="9" t="n">
        <v>24</v>
      </c>
      <c r="R229" s="9" t="n">
        <v>75</v>
      </c>
      <c r="S229" s="9" t="n">
        <v>2343</v>
      </c>
      <c r="T229" s="11" t="n">
        <f aca="false">IF(AND(ISNUMBER(S229),ISNUMBER(D229),D229&gt;0),S229/D229,"")</f>
        <v>1.52142857142857</v>
      </c>
      <c r="U229" s="10" t="n">
        <v>0.08</v>
      </c>
      <c r="V229" s="10" t="n">
        <v>0.1</v>
      </c>
      <c r="W229" s="10" t="n">
        <v>0.08</v>
      </c>
      <c r="X229" s="10"/>
      <c r="Y229" s="8" t="n">
        <v>0</v>
      </c>
      <c r="Z229" s="8" t="s">
        <v>74</v>
      </c>
      <c r="AA229" s="8" t="n">
        <v>9</v>
      </c>
      <c r="AB229" s="8" t="n">
        <v>0</v>
      </c>
      <c r="AC229" s="11" t="n">
        <f aca="false">IF(AND(ISNUMBER(AA229),ISNUMBER(D229),D229&gt;0),AA229/D229*100,"")</f>
        <v>0.584415584415584</v>
      </c>
      <c r="AD229" s="12" t="n">
        <v>1500</v>
      </c>
      <c r="AE229" s="8" t="s">
        <v>77</v>
      </c>
      <c r="AF229" s="8" t="s">
        <v>74</v>
      </c>
      <c r="AG229" s="12" t="n">
        <v>378</v>
      </c>
      <c r="AH229" s="12" t="n">
        <v>455</v>
      </c>
      <c r="AI229" s="12" t="n">
        <v>575</v>
      </c>
      <c r="AJ229" s="12" t="n">
        <v>818</v>
      </c>
      <c r="AK229" s="8" t="n">
        <v>22</v>
      </c>
      <c r="AL229" s="10" t="n">
        <v>0.5</v>
      </c>
      <c r="AM229" s="8" t="s">
        <v>77</v>
      </c>
      <c r="AN229" s="12"/>
      <c r="AO229" s="8" t="s">
        <v>77</v>
      </c>
      <c r="AP229" s="8" t="s">
        <v>74</v>
      </c>
      <c r="AQ229" s="10" t="n">
        <v>0.85</v>
      </c>
      <c r="AR229" s="8" t="n">
        <v>3</v>
      </c>
      <c r="AS229" s="8" t="n">
        <v>3</v>
      </c>
      <c r="AT229" s="8" t="n">
        <v>3</v>
      </c>
      <c r="AU229" s="8" t="n">
        <v>3</v>
      </c>
      <c r="AV229" s="8" t="n">
        <v>2</v>
      </c>
      <c r="AW229" s="8" t="n">
        <v>0</v>
      </c>
      <c r="AX229" s="8" t="n">
        <v>3</v>
      </c>
      <c r="AY229" s="8" t="n">
        <v>4</v>
      </c>
      <c r="AZ229" s="8" t="n">
        <v>2</v>
      </c>
      <c r="BA229" s="8" t="n">
        <v>2</v>
      </c>
      <c r="BB229" s="8" t="n">
        <v>2</v>
      </c>
      <c r="BC229" s="8" t="n">
        <v>4</v>
      </c>
      <c r="BD229" s="8" t="n">
        <v>0</v>
      </c>
      <c r="BE229" s="8" t="n">
        <v>0</v>
      </c>
      <c r="BF229" s="8" t="n">
        <v>2</v>
      </c>
      <c r="BG229" s="8" t="n">
        <v>2</v>
      </c>
      <c r="BH229" s="8" t="n">
        <v>2</v>
      </c>
      <c r="BI229" s="8" t="n">
        <v>4</v>
      </c>
      <c r="BJ229" s="9" t="n">
        <v>68</v>
      </c>
      <c r="BK229" s="9" t="n">
        <v>48</v>
      </c>
      <c r="BL229" s="9" t="n">
        <v>0</v>
      </c>
      <c r="BM229" s="9" t="n">
        <v>38</v>
      </c>
      <c r="BN229" s="10" t="n">
        <v>0.6</v>
      </c>
      <c r="BO229" s="10" t="n">
        <v>0.2</v>
      </c>
      <c r="BP229" s="10" t="n">
        <f aca="false">IF(AND(ISNUMBER(BN229),ISNUMBER(BO229)),BN229+BO229,"")</f>
        <v>0.8</v>
      </c>
      <c r="BQ229" s="10" t="n">
        <v>0.1</v>
      </c>
      <c r="BR229" s="10" t="n">
        <v>0</v>
      </c>
      <c r="BS229" s="10" t="n">
        <v>0.1</v>
      </c>
    </row>
    <row r="230" customFormat="false" ht="15" hidden="false" customHeight="false" outlineLevel="0" collapsed="false">
      <c r="A230" s="8" t="s">
        <v>107</v>
      </c>
      <c r="B230" s="8" t="s">
        <v>123</v>
      </c>
      <c r="C230" s="8" t="n">
        <v>6</v>
      </c>
      <c r="D230" s="9" t="n">
        <v>770</v>
      </c>
      <c r="E230" s="9" t="n">
        <v>276</v>
      </c>
      <c r="F230" s="8" t="s">
        <v>73</v>
      </c>
      <c r="G230" s="8" t="s">
        <v>74</v>
      </c>
      <c r="H230" s="10" t="n">
        <v>0.8</v>
      </c>
      <c r="I230" s="10" t="n">
        <v>0.055</v>
      </c>
      <c r="J230" s="10" t="n">
        <v>0.15</v>
      </c>
      <c r="K230" s="8" t="n">
        <v>1</v>
      </c>
      <c r="L230" s="8" t="n">
        <v>7</v>
      </c>
      <c r="M230" s="10" t="n">
        <v>0.04</v>
      </c>
      <c r="N230" s="8" t="n">
        <v>0</v>
      </c>
      <c r="O230" s="9" t="n">
        <v>128</v>
      </c>
      <c r="P230" s="10" t="n">
        <f aca="false">IF(AND(ISNUMBER(O230),ISNUMBER(D230),D230&gt;0),O230/D230,"")</f>
        <v>0.166233766233766</v>
      </c>
      <c r="Q230" s="9" t="n">
        <v>140</v>
      </c>
      <c r="R230" s="9" t="n">
        <v>70</v>
      </c>
      <c r="S230" s="9" t="n">
        <v>428</v>
      </c>
      <c r="T230" s="11" t="n">
        <f aca="false">IF(AND(ISNUMBER(S230),ISNUMBER(D230),D230&gt;0),S230/D230,"")</f>
        <v>0.555844155844156</v>
      </c>
      <c r="U230" s="10" t="n">
        <v>0.07</v>
      </c>
      <c r="V230" s="10" t="n">
        <v>0.1</v>
      </c>
      <c r="W230" s="10" t="n">
        <v>0.07</v>
      </c>
      <c r="X230" s="10" t="n">
        <v>0.13</v>
      </c>
      <c r="Y230" s="8" t="n">
        <v>0</v>
      </c>
      <c r="Z230" s="8" t="s">
        <v>74</v>
      </c>
      <c r="AA230" s="8" t="n">
        <v>11</v>
      </c>
      <c r="AB230" s="8" t="n">
        <v>0</v>
      </c>
      <c r="AC230" s="11" t="n">
        <f aca="false">IF(AND(ISNUMBER(AA230),ISNUMBER(D230),D230&gt;0),AA230/D230*100,"")</f>
        <v>1.42857142857143</v>
      </c>
      <c r="AD230" s="12" t="n">
        <v>1700</v>
      </c>
      <c r="AE230" s="8" t="s">
        <v>74</v>
      </c>
      <c r="AF230" s="8" t="s">
        <v>77</v>
      </c>
      <c r="AG230" s="12" t="n">
        <v>310.57</v>
      </c>
      <c r="AH230" s="12" t="n">
        <v>350.69</v>
      </c>
      <c r="AI230" s="12" t="n">
        <v>463.79</v>
      </c>
      <c r="AJ230" s="12" t="n">
        <v>680.09</v>
      </c>
      <c r="AK230" s="8" t="n">
        <v>28</v>
      </c>
      <c r="AL230" s="10" t="n">
        <v>0.4</v>
      </c>
      <c r="AM230" s="8" t="s">
        <v>74</v>
      </c>
      <c r="AN230" s="12" t="n">
        <v>22</v>
      </c>
      <c r="AO230" s="8" t="s">
        <v>74</v>
      </c>
      <c r="AP230" s="8" t="s">
        <v>74</v>
      </c>
      <c r="AQ230" s="10" t="n">
        <v>0.98</v>
      </c>
      <c r="AR230" s="8" t="n">
        <v>3</v>
      </c>
      <c r="AS230" s="8" t="n">
        <v>2</v>
      </c>
      <c r="AT230" s="8" t="n">
        <v>1</v>
      </c>
      <c r="AU230" s="8" t="n">
        <v>1</v>
      </c>
      <c r="AV230" s="8" t="n">
        <v>1</v>
      </c>
      <c r="AW230" s="8" t="n">
        <v>0</v>
      </c>
      <c r="AX230" s="8" t="n">
        <v>1</v>
      </c>
      <c r="AY230" s="8" t="n">
        <v>2</v>
      </c>
      <c r="AZ230" s="8" t="n">
        <v>2</v>
      </c>
      <c r="BA230" s="8" t="n">
        <v>2</v>
      </c>
      <c r="BB230" s="8" t="n">
        <v>1</v>
      </c>
      <c r="BC230" s="8" t="n">
        <v>3</v>
      </c>
      <c r="BD230" s="8" t="n">
        <v>1</v>
      </c>
      <c r="BE230" s="8" t="n">
        <v>1</v>
      </c>
      <c r="BF230" s="8" t="n">
        <v>1</v>
      </c>
      <c r="BG230" s="8" t="n">
        <v>1</v>
      </c>
      <c r="BH230" s="8" t="n">
        <v>3</v>
      </c>
      <c r="BI230" s="8" t="n">
        <v>0</v>
      </c>
      <c r="BJ230" s="9" t="n">
        <v>81</v>
      </c>
      <c r="BK230" s="9" t="n">
        <v>19</v>
      </c>
      <c r="BL230" s="9"/>
      <c r="BM230" s="9" t="n">
        <v>33</v>
      </c>
      <c r="BN230" s="10" t="n">
        <v>0.1</v>
      </c>
      <c r="BO230" s="10" t="n">
        <v>0.2</v>
      </c>
      <c r="BP230" s="10" t="n">
        <f aca="false">IF(AND(ISNUMBER(BN230),ISNUMBER(BO230)),BN230+BO230,"")</f>
        <v>0.3</v>
      </c>
      <c r="BQ230" s="10" t="n">
        <v>0</v>
      </c>
      <c r="BR230" s="10" t="n">
        <v>0.6</v>
      </c>
      <c r="BS230" s="10" t="n">
        <v>0.1</v>
      </c>
    </row>
    <row r="231" customFormat="false" ht="15" hidden="false" customHeight="false" outlineLevel="0" collapsed="false">
      <c r="A231" s="8" t="s">
        <v>108</v>
      </c>
      <c r="B231" s="8" t="s">
        <v>123</v>
      </c>
      <c r="C231" s="8" t="n">
        <v>6</v>
      </c>
      <c r="D231" s="9" t="n">
        <v>132</v>
      </c>
      <c r="E231" s="9" t="n">
        <v>48</v>
      </c>
      <c r="F231" s="8" t="s">
        <v>73</v>
      </c>
      <c r="G231" s="8" t="s">
        <v>77</v>
      </c>
      <c r="H231" s="10" t="n">
        <v>0.6</v>
      </c>
      <c r="I231" s="10" t="n">
        <v>0.033</v>
      </c>
      <c r="J231" s="10" t="n">
        <v>0.032</v>
      </c>
      <c r="K231" s="8" t="n">
        <v>0</v>
      </c>
      <c r="L231" s="8" t="n">
        <v>4</v>
      </c>
      <c r="M231" s="10" t="n">
        <v>0.021</v>
      </c>
      <c r="N231" s="8" t="n">
        <v>0</v>
      </c>
      <c r="O231" s="9" t="n">
        <v>3</v>
      </c>
      <c r="P231" s="10" t="n">
        <f aca="false">IF(AND(ISNUMBER(O231),ISNUMBER(D231),D231&gt;0),O231/D231,"")</f>
        <v>0.0227272727272727</v>
      </c>
      <c r="Q231" s="9"/>
      <c r="R231" s="9" t="n">
        <v>3</v>
      </c>
      <c r="S231" s="9" t="n">
        <v>124</v>
      </c>
      <c r="T231" s="11" t="n">
        <f aca="false">IF(AND(ISNUMBER(S231),ISNUMBER(D231),D231&gt;0),S231/D231,"")</f>
        <v>0.939393939393939</v>
      </c>
      <c r="U231" s="10" t="n">
        <v>0.08</v>
      </c>
      <c r="V231" s="10" t="n">
        <v>0.1</v>
      </c>
      <c r="W231" s="10" t="n">
        <v>0.1</v>
      </c>
      <c r="X231" s="10" t="n">
        <v>0.05</v>
      </c>
      <c r="Y231" s="8" t="n">
        <v>0</v>
      </c>
      <c r="Z231" s="8" t="s">
        <v>74</v>
      </c>
      <c r="AA231" s="8" t="n">
        <v>2</v>
      </c>
      <c r="AB231" s="8" t="n">
        <v>0</v>
      </c>
      <c r="AC231" s="11" t="n">
        <f aca="false">IF(AND(ISNUMBER(AA231),ISNUMBER(D231),D231&gt;0),AA231/D231*100,"")</f>
        <v>1.51515151515152</v>
      </c>
      <c r="AD231" s="12" t="n">
        <v>1200</v>
      </c>
      <c r="AE231" s="8" t="s">
        <v>77</v>
      </c>
      <c r="AF231" s="8" t="s">
        <v>74</v>
      </c>
      <c r="AG231" s="12" t="n">
        <v>304</v>
      </c>
      <c r="AH231" s="12" t="n">
        <v>320.76</v>
      </c>
      <c r="AI231" s="12" t="n">
        <v>388.12</v>
      </c>
      <c r="AJ231" s="12" t="n">
        <v>575</v>
      </c>
      <c r="AK231" s="8" t="n">
        <v>20</v>
      </c>
      <c r="AL231" s="10" t="n">
        <v>0.25</v>
      </c>
      <c r="AM231" s="8" t="s">
        <v>77</v>
      </c>
      <c r="AN231" s="12"/>
      <c r="AO231" s="8" t="s">
        <v>77</v>
      </c>
      <c r="AP231" s="8" t="s">
        <v>77</v>
      </c>
      <c r="AQ231" s="10" t="n">
        <v>0.8</v>
      </c>
      <c r="AR231" s="8" t="n">
        <v>3</v>
      </c>
      <c r="AS231" s="8" t="n">
        <v>2</v>
      </c>
      <c r="AT231" s="8" t="n">
        <v>3</v>
      </c>
      <c r="AU231" s="8" t="n">
        <v>1</v>
      </c>
      <c r="AV231" s="8" t="n">
        <v>1</v>
      </c>
      <c r="AW231" s="8" t="n">
        <v>0</v>
      </c>
      <c r="AX231" s="8" t="n">
        <v>1</v>
      </c>
      <c r="AY231" s="8" t="n">
        <v>1</v>
      </c>
      <c r="AZ231" s="8" t="n">
        <v>2</v>
      </c>
      <c r="BA231" s="8" t="n">
        <v>3</v>
      </c>
      <c r="BB231" s="8" t="n">
        <v>2</v>
      </c>
      <c r="BC231" s="8" t="n">
        <v>3</v>
      </c>
      <c r="BD231" s="8"/>
      <c r="BE231" s="8" t="n">
        <v>2</v>
      </c>
      <c r="BF231" s="8" t="n">
        <v>0</v>
      </c>
      <c r="BG231" s="8" t="n">
        <v>1</v>
      </c>
      <c r="BH231" s="8" t="n">
        <v>3</v>
      </c>
      <c r="BI231" s="8" t="n">
        <v>3</v>
      </c>
      <c r="BJ231" s="9" t="n">
        <v>1</v>
      </c>
      <c r="BK231" s="9" t="n">
        <v>0</v>
      </c>
      <c r="BL231" s="9" t="n">
        <v>1</v>
      </c>
      <c r="BM231" s="9" t="n">
        <v>1</v>
      </c>
      <c r="BN231" s="10" t="n">
        <v>0.9</v>
      </c>
      <c r="BO231" s="10" t="n">
        <v>0</v>
      </c>
      <c r="BP231" s="10" t="n">
        <f aca="false">IF(AND(ISNUMBER(BN231),ISNUMBER(BO231)),BN231+BO231,"")</f>
        <v>0.9</v>
      </c>
      <c r="BQ231" s="10" t="n">
        <v>0</v>
      </c>
      <c r="BR231" s="10" t="n">
        <v>0.1</v>
      </c>
      <c r="BS231" s="10" t="n">
        <v>0</v>
      </c>
    </row>
    <row r="232" customFormat="false" ht="15" hidden="false" customHeight="false" outlineLevel="0" collapsed="false">
      <c r="A232" s="8" t="s">
        <v>109</v>
      </c>
      <c r="B232" s="8" t="s">
        <v>123</v>
      </c>
      <c r="C232" s="8" t="n">
        <v>6</v>
      </c>
      <c r="D232" s="9" t="n">
        <v>250</v>
      </c>
      <c r="E232" s="9" t="n">
        <v>506</v>
      </c>
      <c r="F232" s="8" t="s">
        <v>92</v>
      </c>
      <c r="G232" s="8" t="s">
        <v>74</v>
      </c>
      <c r="H232" s="10" t="n">
        <v>0.2</v>
      </c>
      <c r="I232" s="10" t="n">
        <v>0.021</v>
      </c>
      <c r="J232" s="10" t="n">
        <v>0.004</v>
      </c>
      <c r="K232" s="8" t="n">
        <v>0</v>
      </c>
      <c r="L232" s="8" t="n">
        <v>7</v>
      </c>
      <c r="M232" s="10" t="n">
        <v>0.007</v>
      </c>
      <c r="N232" s="8" t="n">
        <v>0</v>
      </c>
      <c r="O232" s="9" t="n">
        <v>8</v>
      </c>
      <c r="P232" s="10" t="n">
        <f aca="false">IF(AND(ISNUMBER(O232),ISNUMBER(D232),D232&gt;0),O232/D232,"")</f>
        <v>0.032</v>
      </c>
      <c r="Q232" s="9" t="n">
        <v>5</v>
      </c>
      <c r="R232" s="9" t="n">
        <v>5</v>
      </c>
      <c r="S232" s="9" t="n">
        <v>60</v>
      </c>
      <c r="T232" s="11" t="n">
        <f aca="false">IF(AND(ISNUMBER(S232),ISNUMBER(D232),D232&gt;0),S232/D232,"")</f>
        <v>0.24</v>
      </c>
      <c r="U232" s="10" t="n">
        <v>0.065</v>
      </c>
      <c r="V232" s="10" t="n">
        <v>0.1</v>
      </c>
      <c r="W232" s="10" t="n">
        <v>0.08</v>
      </c>
      <c r="X232" s="10"/>
      <c r="Y232" s="8" t="n">
        <v>0</v>
      </c>
      <c r="Z232" s="8" t="s">
        <v>74</v>
      </c>
      <c r="AA232" s="8" t="n">
        <v>10</v>
      </c>
      <c r="AB232" s="8" t="n">
        <v>0</v>
      </c>
      <c r="AC232" s="11" t="n">
        <f aca="false">IF(AND(ISNUMBER(AA232),ISNUMBER(D232),D232&gt;0),AA232/D232*100,"")</f>
        <v>4</v>
      </c>
      <c r="AD232" s="12" t="n">
        <v>1800</v>
      </c>
      <c r="AE232" s="8" t="s">
        <v>74</v>
      </c>
      <c r="AF232" s="8" t="s">
        <v>77</v>
      </c>
      <c r="AG232" s="12" t="n">
        <v>346</v>
      </c>
      <c r="AH232" s="12" t="n">
        <v>396</v>
      </c>
      <c r="AI232" s="12" t="n">
        <v>458</v>
      </c>
      <c r="AJ232" s="12" t="n">
        <v>531</v>
      </c>
      <c r="AK232" s="8" t="n">
        <v>20</v>
      </c>
      <c r="AL232" s="10" t="n">
        <v>0.45</v>
      </c>
      <c r="AM232" s="8" t="s">
        <v>74</v>
      </c>
      <c r="AN232" s="12" t="n">
        <v>34</v>
      </c>
      <c r="AO232" s="8" t="s">
        <v>77</v>
      </c>
      <c r="AP232" s="8" t="s">
        <v>74</v>
      </c>
      <c r="AQ232" s="10" t="n">
        <v>0.9</v>
      </c>
      <c r="AR232" s="8" t="n">
        <v>3</v>
      </c>
      <c r="AS232" s="8" t="n">
        <v>0</v>
      </c>
      <c r="AT232" s="8" t="n">
        <v>0</v>
      </c>
      <c r="AU232" s="8" t="n">
        <v>0</v>
      </c>
      <c r="AV232" s="8" t="n">
        <v>0</v>
      </c>
      <c r="AW232" s="8" t="n">
        <v>0</v>
      </c>
      <c r="AX232" s="8" t="n">
        <v>0</v>
      </c>
      <c r="AY232" s="8" t="n">
        <v>0</v>
      </c>
      <c r="AZ232" s="8" t="n">
        <v>2</v>
      </c>
      <c r="BA232" s="8" t="n">
        <v>2</v>
      </c>
      <c r="BB232" s="8" t="n">
        <v>2</v>
      </c>
      <c r="BC232" s="8" t="n">
        <v>3</v>
      </c>
      <c r="BD232" s="8" t="n">
        <v>1</v>
      </c>
      <c r="BE232" s="8" t="n">
        <v>0</v>
      </c>
      <c r="BF232" s="8" t="n">
        <v>0</v>
      </c>
      <c r="BG232" s="8" t="n">
        <v>0</v>
      </c>
      <c r="BH232" s="8" t="n">
        <v>0</v>
      </c>
      <c r="BI232" s="8" t="n">
        <v>3</v>
      </c>
      <c r="BJ232" s="9" t="n">
        <v>8</v>
      </c>
      <c r="BK232" s="9" t="n">
        <v>0</v>
      </c>
      <c r="BL232" s="9" t="n">
        <v>1</v>
      </c>
      <c r="BM232" s="9" t="n">
        <v>17</v>
      </c>
      <c r="BN232" s="10" t="n">
        <v>0.4</v>
      </c>
      <c r="BO232" s="10" t="n">
        <v>0.2</v>
      </c>
      <c r="BP232" s="10" t="n">
        <f aca="false">IF(AND(ISNUMBER(BN232),ISNUMBER(BO232)),BN232+BO232,"")</f>
        <v>0.6</v>
      </c>
      <c r="BQ232" s="10" t="n">
        <v>0.1</v>
      </c>
      <c r="BR232" s="10" t="n">
        <v>0.1</v>
      </c>
      <c r="BS232" s="10" t="n">
        <v>0.2</v>
      </c>
    </row>
    <row r="233" customFormat="false" ht="15" hidden="false" customHeight="false" outlineLevel="0" collapsed="false">
      <c r="A233" s="8" t="s">
        <v>110</v>
      </c>
      <c r="B233" s="8" t="s">
        <v>123</v>
      </c>
      <c r="C233" s="8" t="n">
        <v>6</v>
      </c>
      <c r="D233" s="9" t="n">
        <v>38</v>
      </c>
      <c r="E233" s="9" t="n">
        <v>46</v>
      </c>
      <c r="F233" s="8" t="s">
        <v>81</v>
      </c>
      <c r="G233" s="8" t="s">
        <v>74</v>
      </c>
      <c r="H233" s="10" t="n">
        <v>0</v>
      </c>
      <c r="I233" s="10"/>
      <c r="J233" s="10"/>
      <c r="K233" s="8" t="n">
        <v>0</v>
      </c>
      <c r="L233" s="8" t="n">
        <v>30</v>
      </c>
      <c r="M233" s="10" t="n">
        <v>0.012</v>
      </c>
      <c r="N233" s="8" t="n">
        <v>0</v>
      </c>
      <c r="O233" s="9" t="n">
        <v>1</v>
      </c>
      <c r="P233" s="10" t="n">
        <f aca="false">IF(AND(ISNUMBER(O233),ISNUMBER(D233),D233&gt;0),O233/D233,"")</f>
        <v>0.0263157894736842</v>
      </c>
      <c r="Q233" s="9" t="n">
        <v>0</v>
      </c>
      <c r="R233" s="9" t="n">
        <v>0</v>
      </c>
      <c r="S233" s="9" t="n">
        <v>9</v>
      </c>
      <c r="T233" s="11" t="n">
        <f aca="false">IF(AND(ISNUMBER(S233),ISNUMBER(D233),D233&gt;0),S233/D233,"")</f>
        <v>0.236842105263158</v>
      </c>
      <c r="U233" s="10" t="n">
        <v>0.07</v>
      </c>
      <c r="V233" s="10" t="n">
        <v>0.12</v>
      </c>
      <c r="W233" s="10" t="n">
        <v>0.13</v>
      </c>
      <c r="X233" s="10"/>
      <c r="Y233" s="8" t="n">
        <v>0</v>
      </c>
      <c r="Z233" s="8" t="s">
        <v>74</v>
      </c>
      <c r="AA233" s="8" t="n">
        <v>4</v>
      </c>
      <c r="AB233" s="8" t="n">
        <v>0</v>
      </c>
      <c r="AC233" s="11" t="n">
        <f aca="false">IF(AND(ISNUMBER(AA233),ISNUMBER(D233),D233&gt;0),AA233/D233*100,"")</f>
        <v>10.5263157894737</v>
      </c>
      <c r="AD233" s="12" t="n">
        <v>2501.34</v>
      </c>
      <c r="AE233" s="8" t="s">
        <v>74</v>
      </c>
      <c r="AF233" s="8" t="s">
        <v>77</v>
      </c>
      <c r="AG233" s="12" t="n">
        <v>344.26</v>
      </c>
      <c r="AH233" s="12" t="n">
        <v>380.16</v>
      </c>
      <c r="AI233" s="12" t="n">
        <v>608.26</v>
      </c>
      <c r="AJ233" s="12" t="n">
        <v>730</v>
      </c>
      <c r="AK233" s="8" t="n">
        <v>30</v>
      </c>
      <c r="AL233" s="10" t="n">
        <v>0.75</v>
      </c>
      <c r="AM233" s="8" t="s">
        <v>77</v>
      </c>
      <c r="AN233" s="12"/>
      <c r="AO233" s="8" t="s">
        <v>74</v>
      </c>
      <c r="AP233" s="8" t="s">
        <v>74</v>
      </c>
      <c r="AQ233" s="10" t="n">
        <v>0.5</v>
      </c>
      <c r="AR233" s="8" t="n">
        <v>1</v>
      </c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 t="n">
        <v>1</v>
      </c>
      <c r="BJ233" s="9" t="n">
        <v>0</v>
      </c>
      <c r="BK233" s="9" t="n">
        <v>0</v>
      </c>
      <c r="BL233" s="9" t="n">
        <v>0</v>
      </c>
      <c r="BM233" s="9" t="n">
        <v>1</v>
      </c>
      <c r="BN233" s="10" t="n">
        <v>0</v>
      </c>
      <c r="BO233" s="10" t="n">
        <v>0.2</v>
      </c>
      <c r="BP233" s="10" t="n">
        <f aca="false">IF(AND(ISNUMBER(BN233),ISNUMBER(BO233)),BN233+BO233,"")</f>
        <v>0.2</v>
      </c>
      <c r="BQ233" s="10" t="n">
        <v>0</v>
      </c>
      <c r="BR233" s="10" t="n">
        <v>0</v>
      </c>
      <c r="BS233" s="10" t="n">
        <v>0.8</v>
      </c>
    </row>
    <row r="234" customFormat="false" ht="15" hidden="false" customHeight="false" outlineLevel="0" collapsed="false">
      <c r="A234" s="8" t="s">
        <v>111</v>
      </c>
      <c r="B234" s="8" t="s">
        <v>123</v>
      </c>
      <c r="C234" s="8" t="n">
        <v>6</v>
      </c>
      <c r="D234" s="9" t="n">
        <v>94</v>
      </c>
      <c r="E234" s="9" t="n">
        <v>64</v>
      </c>
      <c r="F234" s="8" t="s">
        <v>73</v>
      </c>
      <c r="G234" s="8" t="s">
        <v>74</v>
      </c>
      <c r="H234" s="10" t="n">
        <v>0</v>
      </c>
      <c r="I234" s="10" t="n">
        <v>0.01</v>
      </c>
      <c r="J234" s="10" t="n">
        <v>0.01</v>
      </c>
      <c r="K234" s="8" t="n">
        <v>0</v>
      </c>
      <c r="L234" s="8" t="n">
        <v>25</v>
      </c>
      <c r="M234" s="10" t="n">
        <v>0.005</v>
      </c>
      <c r="N234" s="8" t="n">
        <v>0</v>
      </c>
      <c r="O234" s="9" t="n">
        <v>3</v>
      </c>
      <c r="P234" s="10" t="n">
        <f aca="false">IF(AND(ISNUMBER(O234),ISNUMBER(D234),D234&gt;0),O234/D234,"")</f>
        <v>0.0319148936170213</v>
      </c>
      <c r="Q234" s="9" t="n">
        <v>0</v>
      </c>
      <c r="R234" s="9" t="n">
        <v>0</v>
      </c>
      <c r="S234" s="9" t="n">
        <v>7</v>
      </c>
      <c r="T234" s="11" t="n">
        <f aca="false">IF(AND(ISNUMBER(S234),ISNUMBER(D234),D234&gt;0),S234/D234,"")</f>
        <v>0.074468085106383</v>
      </c>
      <c r="U234" s="10" t="n">
        <v>0.1</v>
      </c>
      <c r="V234" s="10" t="n">
        <v>0.085</v>
      </c>
      <c r="W234" s="10" t="n">
        <v>0.065</v>
      </c>
      <c r="X234" s="10" t="n">
        <v>0.025</v>
      </c>
      <c r="Y234" s="8" t="n">
        <v>0</v>
      </c>
      <c r="Z234" s="8" t="s">
        <v>74</v>
      </c>
      <c r="AA234" s="8" t="n">
        <v>10</v>
      </c>
      <c r="AB234" s="8" t="n">
        <v>0</v>
      </c>
      <c r="AC234" s="11" t="n">
        <f aca="false">IF(AND(ISNUMBER(AA234),ISNUMBER(D234),D234&gt;0),AA234/D234*100,"")</f>
        <v>10.6382978723404</v>
      </c>
      <c r="AD234" s="12" t="n">
        <v>3500</v>
      </c>
      <c r="AE234" s="8"/>
      <c r="AF234" s="8" t="s">
        <v>74</v>
      </c>
      <c r="AG234" s="12" t="n">
        <v>346.73</v>
      </c>
      <c r="AH234" s="12" t="n">
        <v>378.64</v>
      </c>
      <c r="AI234" s="12" t="n">
        <v>411.51</v>
      </c>
      <c r="AJ234" s="12" t="n">
        <v>466.65</v>
      </c>
      <c r="AK234" s="8" t="n">
        <v>17</v>
      </c>
      <c r="AL234" s="10" t="n">
        <v>0.3</v>
      </c>
      <c r="AM234" s="8" t="s">
        <v>74</v>
      </c>
      <c r="AN234" s="12" t="n">
        <v>48</v>
      </c>
      <c r="AO234" s="8" t="s">
        <v>74</v>
      </c>
      <c r="AP234" s="8" t="s">
        <v>74</v>
      </c>
      <c r="AQ234" s="10" t="n">
        <v>1</v>
      </c>
      <c r="AR234" s="8" t="n">
        <v>2</v>
      </c>
      <c r="AS234" s="8" t="n">
        <v>1</v>
      </c>
      <c r="AT234" s="8" t="n">
        <v>0</v>
      </c>
      <c r="AU234" s="8" t="n">
        <v>0</v>
      </c>
      <c r="AV234" s="8" t="n">
        <v>0</v>
      </c>
      <c r="AW234" s="8" t="n">
        <v>0</v>
      </c>
      <c r="AX234" s="8" t="n">
        <v>0</v>
      </c>
      <c r="AY234" s="8" t="n">
        <v>3</v>
      </c>
      <c r="AZ234" s="8" t="n">
        <v>3</v>
      </c>
      <c r="BA234" s="8" t="n">
        <v>3</v>
      </c>
      <c r="BB234" s="8" t="n">
        <v>1</v>
      </c>
      <c r="BC234" s="8" t="n">
        <v>0</v>
      </c>
      <c r="BD234" s="8" t="n">
        <v>0</v>
      </c>
      <c r="BE234" s="8" t="n">
        <v>3</v>
      </c>
      <c r="BF234" s="8" t="n">
        <v>1</v>
      </c>
      <c r="BG234" s="8" t="n">
        <v>0</v>
      </c>
      <c r="BH234" s="8" t="n">
        <v>0</v>
      </c>
      <c r="BI234" s="8"/>
      <c r="BJ234" s="9" t="n">
        <v>1</v>
      </c>
      <c r="BK234" s="9" t="n">
        <v>0</v>
      </c>
      <c r="BL234" s="9" t="n">
        <v>0</v>
      </c>
      <c r="BM234" s="9" t="n">
        <v>3</v>
      </c>
      <c r="BN234" s="10" t="n">
        <v>0</v>
      </c>
      <c r="BO234" s="10" t="n">
        <v>0</v>
      </c>
      <c r="BP234" s="10" t="n">
        <f aca="false">IF(AND(ISNUMBER(BN234),ISNUMBER(BO234)),BN234+BO234,"")</f>
        <v>0</v>
      </c>
      <c r="BQ234" s="10" t="n">
        <v>0.8</v>
      </c>
      <c r="BR234" s="10" t="n">
        <v>0.2</v>
      </c>
      <c r="BS234" s="10" t="n">
        <v>0</v>
      </c>
    </row>
    <row r="235" customFormat="false" ht="15" hidden="false" customHeight="false" outlineLevel="0" collapsed="false">
      <c r="A235" s="8" t="s">
        <v>112</v>
      </c>
      <c r="B235" s="8" t="s">
        <v>123</v>
      </c>
      <c r="C235" s="8" t="n">
        <v>6</v>
      </c>
      <c r="D235" s="9" t="n">
        <v>404</v>
      </c>
      <c r="E235" s="9" t="n">
        <v>305</v>
      </c>
      <c r="F235" s="8" t="s">
        <v>92</v>
      </c>
      <c r="G235" s="8" t="s">
        <v>74</v>
      </c>
      <c r="H235" s="10" t="n">
        <v>0</v>
      </c>
      <c r="I235" s="10" t="n">
        <v>0.002</v>
      </c>
      <c r="J235" s="10" t="n">
        <v>0.002</v>
      </c>
      <c r="K235" s="8" t="n">
        <v>0</v>
      </c>
      <c r="L235" s="8" t="n">
        <v>40</v>
      </c>
      <c r="M235" s="10" t="n">
        <v>0.014</v>
      </c>
      <c r="N235" s="8" t="n">
        <v>0</v>
      </c>
      <c r="O235" s="9" t="n">
        <v>10</v>
      </c>
      <c r="P235" s="10" t="n">
        <f aca="false">IF(AND(ISNUMBER(O235),ISNUMBER(D235),D235&gt;0),O235/D235,"")</f>
        <v>0.0247524752475248</v>
      </c>
      <c r="Q235" s="9" t="n">
        <v>2</v>
      </c>
      <c r="R235" s="9" t="n">
        <v>2</v>
      </c>
      <c r="S235" s="9" t="n">
        <v>33</v>
      </c>
      <c r="T235" s="11" t="n">
        <f aca="false">IF(AND(ISNUMBER(S235),ISNUMBER(D235),D235&gt;0),S235/D235,"")</f>
        <v>0.0816831683168317</v>
      </c>
      <c r="U235" s="10" t="n">
        <v>0.06</v>
      </c>
      <c r="V235" s="10" t="n">
        <v>0.12</v>
      </c>
      <c r="W235" s="10" t="n">
        <v>0.08</v>
      </c>
      <c r="X235" s="10"/>
      <c r="Y235" s="8" t="n">
        <v>0</v>
      </c>
      <c r="Z235" s="8" t="s">
        <v>74</v>
      </c>
      <c r="AA235" s="8" t="n">
        <v>41</v>
      </c>
      <c r="AB235" s="8" t="n">
        <v>1</v>
      </c>
      <c r="AC235" s="11" t="n">
        <f aca="false">IF(AND(ISNUMBER(AA235),ISNUMBER(D235),D235&gt;0),AA235/D235*100,"")</f>
        <v>10.1485148514852</v>
      </c>
      <c r="AD235" s="12" t="n">
        <v>1500</v>
      </c>
      <c r="AE235" s="8" t="s">
        <v>74</v>
      </c>
      <c r="AF235" s="8" t="s">
        <v>77</v>
      </c>
      <c r="AG235" s="12" t="n">
        <v>335</v>
      </c>
      <c r="AH235" s="12" t="n">
        <v>410</v>
      </c>
      <c r="AI235" s="12" t="n">
        <v>511</v>
      </c>
      <c r="AJ235" s="12" t="n">
        <v>831</v>
      </c>
      <c r="AK235" s="8" t="n">
        <v>26</v>
      </c>
      <c r="AL235" s="10" t="n">
        <v>0.5</v>
      </c>
      <c r="AM235" s="8" t="s">
        <v>74</v>
      </c>
      <c r="AN235" s="12" t="n">
        <v>42</v>
      </c>
      <c r="AO235" s="8" t="s">
        <v>74</v>
      </c>
      <c r="AP235" s="8" t="s">
        <v>74</v>
      </c>
      <c r="AQ235" s="10" t="n">
        <v>0.8</v>
      </c>
      <c r="AR235" s="8" t="n">
        <v>1</v>
      </c>
      <c r="AS235" s="8" t="n">
        <v>3</v>
      </c>
      <c r="AT235" s="8" t="n">
        <v>1</v>
      </c>
      <c r="AU235" s="8" t="n">
        <v>2</v>
      </c>
      <c r="AV235" s="8" t="n">
        <v>2</v>
      </c>
      <c r="AW235" s="8"/>
      <c r="AX235" s="8" t="n">
        <v>1</v>
      </c>
      <c r="AY235" s="8" t="n">
        <v>1</v>
      </c>
      <c r="AZ235" s="8" t="n">
        <v>1</v>
      </c>
      <c r="BA235" s="8" t="n">
        <v>1</v>
      </c>
      <c r="BB235" s="8" t="n">
        <v>3</v>
      </c>
      <c r="BC235" s="8" t="n">
        <v>1</v>
      </c>
      <c r="BD235" s="8" t="n">
        <v>2</v>
      </c>
      <c r="BE235" s="8" t="n">
        <v>2</v>
      </c>
      <c r="BF235" s="8" t="n">
        <v>2</v>
      </c>
      <c r="BG235" s="8" t="n">
        <v>1</v>
      </c>
      <c r="BH235" s="8" t="n">
        <v>3</v>
      </c>
      <c r="BI235" s="8" t="n">
        <v>2</v>
      </c>
      <c r="BJ235" s="9" t="n">
        <v>6</v>
      </c>
      <c r="BK235" s="9" t="n">
        <v>0</v>
      </c>
      <c r="BL235" s="9" t="n">
        <v>0</v>
      </c>
      <c r="BM235" s="9" t="n">
        <v>0</v>
      </c>
      <c r="BN235" s="10" t="n">
        <v>0</v>
      </c>
      <c r="BO235" s="10" t="n">
        <v>0.1</v>
      </c>
      <c r="BP235" s="10" t="n">
        <f aca="false">IF(AND(ISNUMBER(BN235),ISNUMBER(BO235)),BN235+BO235,"")</f>
        <v>0.1</v>
      </c>
      <c r="BQ235" s="10" t="n">
        <v>0.1</v>
      </c>
      <c r="BR235" s="10" t="n">
        <v>0.1</v>
      </c>
      <c r="BS235" s="10" t="n">
        <v>0.7</v>
      </c>
    </row>
    <row r="236" customFormat="false" ht="15" hidden="false" customHeight="false" outlineLevel="0" collapsed="false">
      <c r="A236" s="8" t="s">
        <v>113</v>
      </c>
      <c r="B236" s="8" t="s">
        <v>123</v>
      </c>
      <c r="C236" s="8" t="n">
        <v>6</v>
      </c>
      <c r="D236" s="9" t="n">
        <v>81</v>
      </c>
      <c r="E236" s="9" t="n">
        <v>47</v>
      </c>
      <c r="F236" s="8" t="s">
        <v>76</v>
      </c>
      <c r="G236" s="8" t="s">
        <v>77</v>
      </c>
      <c r="H236" s="10" t="n">
        <v>0.3</v>
      </c>
      <c r="I236" s="10" t="n">
        <v>0.055</v>
      </c>
      <c r="J236" s="10" t="n">
        <v>0.003</v>
      </c>
      <c r="K236" s="8" t="n">
        <v>0</v>
      </c>
      <c r="L236" s="8" t="n">
        <v>3</v>
      </c>
      <c r="M236" s="10" t="n">
        <v>0.01</v>
      </c>
      <c r="N236" s="8" t="n">
        <v>0</v>
      </c>
      <c r="O236" s="9" t="n">
        <v>9</v>
      </c>
      <c r="P236" s="10" t="n">
        <f aca="false">IF(AND(ISNUMBER(O236),ISNUMBER(D236),D236&gt;0),O236/D236,"")</f>
        <v>0.111111111111111</v>
      </c>
      <c r="Q236" s="9"/>
      <c r="R236" s="9" t="n">
        <v>2</v>
      </c>
      <c r="S236" s="9" t="n">
        <v>20</v>
      </c>
      <c r="T236" s="11" t="n">
        <f aca="false">IF(AND(ISNUMBER(S236),ISNUMBER(D236),D236&gt;0),S236/D236,"")</f>
        <v>0.246913580246914</v>
      </c>
      <c r="U236" s="10" t="n">
        <v>0.1</v>
      </c>
      <c r="V236" s="10"/>
      <c r="W236" s="10"/>
      <c r="X236" s="10" t="n">
        <v>0.1</v>
      </c>
      <c r="Y236" s="8" t="n">
        <v>0</v>
      </c>
      <c r="Z236" s="8" t="s">
        <v>77</v>
      </c>
      <c r="AA236" s="8" t="n">
        <v>0</v>
      </c>
      <c r="AB236" s="8" t="n">
        <v>0</v>
      </c>
      <c r="AC236" s="11" t="n">
        <f aca="false">IF(AND(ISNUMBER(AA236),ISNUMBER(D236),D236&gt;0),AA236/D236*100,"")</f>
        <v>0</v>
      </c>
      <c r="AD236" s="12"/>
      <c r="AE236" s="8" t="s">
        <v>74</v>
      </c>
      <c r="AF236" s="8" t="s">
        <v>74</v>
      </c>
      <c r="AG236" s="12" t="n">
        <v>278.78</v>
      </c>
      <c r="AH236" s="12" t="n">
        <v>278.78</v>
      </c>
      <c r="AI236" s="12" t="n">
        <v>351.26</v>
      </c>
      <c r="AJ236" s="12" t="n">
        <v>577.38</v>
      </c>
      <c r="AK236" s="8" t="n">
        <v>15</v>
      </c>
      <c r="AL236" s="10" t="n">
        <v>0.25</v>
      </c>
      <c r="AM236" s="8" t="s">
        <v>74</v>
      </c>
      <c r="AN236" s="12" t="n">
        <v>45</v>
      </c>
      <c r="AO236" s="8" t="s">
        <v>77</v>
      </c>
      <c r="AP236" s="8" t="s">
        <v>74</v>
      </c>
      <c r="AQ236" s="10"/>
      <c r="AR236" s="8" t="n">
        <v>3</v>
      </c>
      <c r="AS236" s="8" t="n">
        <v>3</v>
      </c>
      <c r="AT236" s="8" t="n">
        <v>3</v>
      </c>
      <c r="AU236" s="8"/>
      <c r="AV236" s="8"/>
      <c r="AW236" s="8" t="n">
        <v>2</v>
      </c>
      <c r="AX236" s="8" t="n">
        <v>2</v>
      </c>
      <c r="AY236" s="8" t="n">
        <v>3</v>
      </c>
      <c r="AZ236" s="8" t="n">
        <v>2</v>
      </c>
      <c r="BA236" s="8" t="n">
        <v>2</v>
      </c>
      <c r="BB236" s="8" t="n">
        <v>2</v>
      </c>
      <c r="BC236" s="8" t="n">
        <v>2</v>
      </c>
      <c r="BD236" s="8" t="n">
        <v>2</v>
      </c>
      <c r="BE236" s="8" t="n">
        <v>3</v>
      </c>
      <c r="BF236" s="8" t="n">
        <v>2</v>
      </c>
      <c r="BG236" s="8" t="n">
        <v>2</v>
      </c>
      <c r="BH236" s="8" t="n">
        <v>2</v>
      </c>
      <c r="BI236" s="8" t="n">
        <v>2</v>
      </c>
      <c r="BJ236" s="9" t="n">
        <v>10</v>
      </c>
      <c r="BK236" s="9" t="n">
        <v>0</v>
      </c>
      <c r="BL236" s="9" t="n">
        <v>1</v>
      </c>
      <c r="BM236" s="9" t="n">
        <v>1</v>
      </c>
      <c r="BN236" s="10" t="n">
        <v>0.1</v>
      </c>
      <c r="BO236" s="10" t="n">
        <v>0.4</v>
      </c>
      <c r="BP236" s="10" t="n">
        <f aca="false">IF(AND(ISNUMBER(BN236),ISNUMBER(BO236)),BN236+BO236,"")</f>
        <v>0.5</v>
      </c>
      <c r="BQ236" s="10" t="n">
        <v>0.2</v>
      </c>
      <c r="BR236" s="10" t="n">
        <v>0.4</v>
      </c>
      <c r="BS236" s="10" t="n">
        <v>0</v>
      </c>
    </row>
    <row r="237" customFormat="false" ht="15" hidden="false" customHeight="false" outlineLevel="0" collapsed="false">
      <c r="A237" s="8" t="s">
        <v>114</v>
      </c>
      <c r="B237" s="8" t="s">
        <v>123</v>
      </c>
      <c r="C237" s="8" t="n">
        <v>6</v>
      </c>
      <c r="D237" s="9" t="n">
        <v>1310</v>
      </c>
      <c r="E237" s="9" t="n">
        <v>405</v>
      </c>
      <c r="F237" s="8" t="s">
        <v>81</v>
      </c>
      <c r="G237" s="8" t="s">
        <v>74</v>
      </c>
      <c r="H237" s="10" t="n">
        <v>0</v>
      </c>
      <c r="I237" s="10" t="n">
        <v>0.043</v>
      </c>
      <c r="J237" s="10" t="n">
        <v>0.013</v>
      </c>
      <c r="K237" s="8" t="n">
        <v>0</v>
      </c>
      <c r="L237" s="8" t="n">
        <v>15</v>
      </c>
      <c r="M237" s="10" t="n">
        <v>0.011</v>
      </c>
      <c r="N237" s="8" t="n">
        <v>0</v>
      </c>
      <c r="O237" s="9" t="n">
        <v>112</v>
      </c>
      <c r="P237" s="10" t="n">
        <f aca="false">IF(AND(ISNUMBER(O237),ISNUMBER(D237),D237&gt;0),O237/D237,"")</f>
        <v>0.0854961832061069</v>
      </c>
      <c r="Q237" s="9" t="n">
        <v>42</v>
      </c>
      <c r="R237" s="9" t="n">
        <v>41</v>
      </c>
      <c r="S237" s="9" t="n">
        <v>1521</v>
      </c>
      <c r="T237" s="11" t="n">
        <f aca="false">IF(AND(ISNUMBER(S237),ISNUMBER(D237),D237&gt;0),S237/D237,"")</f>
        <v>1.16106870229008</v>
      </c>
      <c r="U237" s="10" t="n">
        <v>0.07</v>
      </c>
      <c r="V237" s="10" t="n">
        <v>0.09</v>
      </c>
      <c r="W237" s="10" t="n">
        <v>0.09</v>
      </c>
      <c r="X237" s="10" t="n">
        <v>0.1</v>
      </c>
      <c r="Y237" s="8" t="n">
        <v>0</v>
      </c>
      <c r="Z237" s="8" t="s">
        <v>74</v>
      </c>
      <c r="AA237" s="8" t="n">
        <v>41</v>
      </c>
      <c r="AB237" s="8" t="n">
        <v>1</v>
      </c>
      <c r="AC237" s="11" t="n">
        <f aca="false">IF(AND(ISNUMBER(AA237),ISNUMBER(D237),D237&gt;0),AA237/D237*100,"")</f>
        <v>3.12977099236641</v>
      </c>
      <c r="AD237" s="12" t="n">
        <v>1000</v>
      </c>
      <c r="AE237" s="8" t="s">
        <v>74</v>
      </c>
      <c r="AF237" s="8" t="s">
        <v>77</v>
      </c>
      <c r="AG237" s="12" t="n">
        <v>346.26</v>
      </c>
      <c r="AH237" s="12" t="n">
        <v>400.59</v>
      </c>
      <c r="AI237" s="12" t="n">
        <v>420.62</v>
      </c>
      <c r="AJ237" s="12" t="n">
        <v>441.64</v>
      </c>
      <c r="AK237" s="8" t="n">
        <v>15</v>
      </c>
      <c r="AL237" s="10" t="n">
        <v>0.25</v>
      </c>
      <c r="AM237" s="8" t="s">
        <v>74</v>
      </c>
      <c r="AN237" s="12" t="n">
        <v>22</v>
      </c>
      <c r="AO237" s="8" t="s">
        <v>77</v>
      </c>
      <c r="AP237" s="8" t="s">
        <v>74</v>
      </c>
      <c r="AQ237" s="10" t="n">
        <v>0.9</v>
      </c>
      <c r="AR237" s="8" t="n">
        <v>4</v>
      </c>
      <c r="AS237" s="8" t="n">
        <v>5</v>
      </c>
      <c r="AT237" s="8" t="n">
        <v>1</v>
      </c>
      <c r="AU237" s="8" t="n">
        <v>3</v>
      </c>
      <c r="AV237" s="8" t="n">
        <v>3</v>
      </c>
      <c r="AW237" s="8" t="n">
        <v>3</v>
      </c>
      <c r="AX237" s="8" t="n">
        <v>2</v>
      </c>
      <c r="AY237" s="8" t="n">
        <v>3</v>
      </c>
      <c r="AZ237" s="8" t="n">
        <v>1</v>
      </c>
      <c r="BA237" s="8" t="n">
        <v>2</v>
      </c>
      <c r="BB237" s="8" t="n">
        <v>4</v>
      </c>
      <c r="BC237" s="8" t="n">
        <v>3</v>
      </c>
      <c r="BD237" s="8" t="n">
        <v>4</v>
      </c>
      <c r="BE237" s="8" t="n">
        <v>2</v>
      </c>
      <c r="BF237" s="8" t="n">
        <v>3</v>
      </c>
      <c r="BG237" s="8" t="n">
        <v>1</v>
      </c>
      <c r="BH237" s="8" t="n">
        <v>5</v>
      </c>
      <c r="BI237" s="8" t="n">
        <v>5</v>
      </c>
      <c r="BJ237" s="9" t="n">
        <v>58</v>
      </c>
      <c r="BK237" s="9" t="n">
        <v>38</v>
      </c>
      <c r="BL237" s="9" t="n">
        <v>14</v>
      </c>
      <c r="BM237" s="9" t="n">
        <v>4</v>
      </c>
      <c r="BN237" s="10" t="n">
        <v>0.1</v>
      </c>
      <c r="BO237" s="10" t="n">
        <v>0.3</v>
      </c>
      <c r="BP237" s="10" t="n">
        <f aca="false">IF(AND(ISNUMBER(BN237),ISNUMBER(BO237)),BN237+BO237,"")</f>
        <v>0.4</v>
      </c>
      <c r="BQ237" s="10" t="n">
        <v>0.3</v>
      </c>
      <c r="BR237" s="10" t="n">
        <v>0.2</v>
      </c>
      <c r="BS237" s="10" t="n">
        <v>0.1</v>
      </c>
    </row>
    <row r="238" customFormat="false" ht="15" hidden="false" customHeight="false" outlineLevel="0" collapsed="false">
      <c r="A238" s="8" t="s">
        <v>115</v>
      </c>
      <c r="B238" s="8" t="s">
        <v>123</v>
      </c>
      <c r="C238" s="8" t="n">
        <v>6</v>
      </c>
      <c r="D238" s="9" t="n">
        <v>965</v>
      </c>
      <c r="E238" s="9" t="n">
        <v>480</v>
      </c>
      <c r="F238" s="8" t="s">
        <v>92</v>
      </c>
      <c r="G238" s="8" t="s">
        <v>74</v>
      </c>
      <c r="H238" s="10"/>
      <c r="I238" s="10" t="n">
        <v>0.003</v>
      </c>
      <c r="J238" s="10" t="n">
        <v>0.003</v>
      </c>
      <c r="K238" s="8" t="n">
        <v>0</v>
      </c>
      <c r="L238" s="8" t="n">
        <v>30</v>
      </c>
      <c r="M238" s="10" t="n">
        <v>0.005</v>
      </c>
      <c r="N238" s="8" t="n">
        <v>0</v>
      </c>
      <c r="O238" s="9" t="n">
        <v>22</v>
      </c>
      <c r="P238" s="10" t="n">
        <f aca="false">IF(AND(ISNUMBER(O238),ISNUMBER(D238),D238&gt;0),O238/D238,"")</f>
        <v>0.0227979274611399</v>
      </c>
      <c r="Q238" s="9" t="n">
        <v>3</v>
      </c>
      <c r="R238" s="9" t="n">
        <v>3</v>
      </c>
      <c r="S238" s="9" t="n">
        <v>58</v>
      </c>
      <c r="T238" s="11" t="n">
        <f aca="false">IF(AND(ISNUMBER(S238),ISNUMBER(D238),D238&gt;0),S238/D238,"")</f>
        <v>0.0601036269430052</v>
      </c>
      <c r="U238" s="10" t="n">
        <v>0.07</v>
      </c>
      <c r="V238" s="10" t="n">
        <v>0.13</v>
      </c>
      <c r="W238" s="10" t="n">
        <v>0.115</v>
      </c>
      <c r="X238" s="10" t="n">
        <v>0.08</v>
      </c>
      <c r="Y238" s="8" t="n">
        <v>0</v>
      </c>
      <c r="Z238" s="8" t="s">
        <v>74</v>
      </c>
      <c r="AA238" s="8" t="n">
        <v>1</v>
      </c>
      <c r="AB238" s="8" t="n">
        <v>0</v>
      </c>
      <c r="AC238" s="11" t="n">
        <f aca="false">IF(AND(ISNUMBER(AA238),ISNUMBER(D238),D238&gt;0),AA238/D238*100,"")</f>
        <v>0.103626943005181</v>
      </c>
      <c r="AD238" s="12" t="n">
        <v>0</v>
      </c>
      <c r="AE238" s="8" t="s">
        <v>77</v>
      </c>
      <c r="AF238" s="8" t="s">
        <v>74</v>
      </c>
      <c r="AG238" s="12" t="n">
        <v>400</v>
      </c>
      <c r="AH238" s="12" t="n">
        <v>479</v>
      </c>
      <c r="AI238" s="12" t="n">
        <v>624</v>
      </c>
      <c r="AJ238" s="12" t="n">
        <v>790</v>
      </c>
      <c r="AK238" s="8" t="n">
        <v>40</v>
      </c>
      <c r="AL238" s="10" t="n">
        <v>0.95</v>
      </c>
      <c r="AM238" s="8" t="s">
        <v>74</v>
      </c>
      <c r="AN238" s="12" t="n">
        <v>52</v>
      </c>
      <c r="AO238" s="8" t="s">
        <v>74</v>
      </c>
      <c r="AP238" s="8" t="s">
        <v>74</v>
      </c>
      <c r="AQ238" s="10" t="n">
        <v>0.4</v>
      </c>
      <c r="AR238" s="8" t="n">
        <v>3</v>
      </c>
      <c r="AS238" s="8" t="n">
        <v>1</v>
      </c>
      <c r="AT238" s="8" t="n">
        <v>2</v>
      </c>
      <c r="AU238" s="8" t="n">
        <v>2</v>
      </c>
      <c r="AV238" s="8" t="n">
        <v>3</v>
      </c>
      <c r="AW238" s="8" t="n">
        <v>1</v>
      </c>
      <c r="AX238" s="8" t="n">
        <v>1</v>
      </c>
      <c r="AY238" s="8" t="n">
        <v>1</v>
      </c>
      <c r="AZ238" s="8" t="n">
        <v>2</v>
      </c>
      <c r="BA238" s="8" t="n">
        <v>1</v>
      </c>
      <c r="BB238" s="8" t="n">
        <v>1</v>
      </c>
      <c r="BC238" s="8" t="n">
        <v>1</v>
      </c>
      <c r="BD238" s="8" t="n">
        <v>1</v>
      </c>
      <c r="BE238" s="8" t="n">
        <v>1</v>
      </c>
      <c r="BF238" s="8" t="n">
        <v>2</v>
      </c>
      <c r="BG238" s="8" t="n">
        <v>1</v>
      </c>
      <c r="BH238" s="8" t="n">
        <v>1</v>
      </c>
      <c r="BI238" s="8" t="n">
        <v>3</v>
      </c>
      <c r="BJ238" s="9" t="n">
        <v>12</v>
      </c>
      <c r="BK238" s="9"/>
      <c r="BL238" s="9" t="n">
        <v>2</v>
      </c>
      <c r="BM238" s="9" t="n">
        <v>6</v>
      </c>
      <c r="BN238" s="10" t="n">
        <v>0</v>
      </c>
      <c r="BO238" s="10" t="n">
        <v>0.1</v>
      </c>
      <c r="BP238" s="10" t="n">
        <f aca="false">IF(AND(ISNUMBER(BN238),ISNUMBER(BO238)),BN238+BO238,"")</f>
        <v>0.1</v>
      </c>
      <c r="BQ238" s="10" t="n">
        <v>0.1</v>
      </c>
      <c r="BR238" s="10" t="n">
        <v>0.5</v>
      </c>
      <c r="BS238" s="10" t="n">
        <v>0.3</v>
      </c>
    </row>
    <row r="239" customFormat="false" ht="15" hidden="false" customHeight="false" outlineLevel="0" collapsed="false">
      <c r="A239" s="8" t="s">
        <v>116</v>
      </c>
      <c r="B239" s="8" t="s">
        <v>123</v>
      </c>
      <c r="C239" s="8" t="n">
        <v>6</v>
      </c>
      <c r="D239" s="9" t="n">
        <v>2807</v>
      </c>
      <c r="E239" s="9" t="n">
        <v>683</v>
      </c>
      <c r="F239" s="8" t="s">
        <v>73</v>
      </c>
      <c r="G239" s="8" t="s">
        <v>74</v>
      </c>
      <c r="H239" s="10" t="n">
        <v>0.1</v>
      </c>
      <c r="I239" s="10" t="n">
        <v>0.02</v>
      </c>
      <c r="J239" s="10" t="n">
        <v>0.015</v>
      </c>
      <c r="K239" s="8" t="n">
        <v>0</v>
      </c>
      <c r="L239" s="8" t="n">
        <v>5</v>
      </c>
      <c r="M239" s="10" t="n">
        <v>0.04</v>
      </c>
      <c r="N239" s="8" t="n">
        <v>0</v>
      </c>
      <c r="O239" s="9" t="n">
        <v>462</v>
      </c>
      <c r="P239" s="10" t="n">
        <f aca="false">IF(AND(ISNUMBER(O239),ISNUMBER(D239),D239&gt;0),O239/D239,"")</f>
        <v>0.164588528678304</v>
      </c>
      <c r="Q239" s="9" t="n">
        <v>1543</v>
      </c>
      <c r="R239" s="9" t="n">
        <v>743</v>
      </c>
      <c r="S239" s="9" t="n">
        <v>2850</v>
      </c>
      <c r="T239" s="11" t="n">
        <f aca="false">IF(AND(ISNUMBER(S239),ISNUMBER(D239),D239&gt;0),S239/D239,"")</f>
        <v>1.01531884574279</v>
      </c>
      <c r="U239" s="10" t="n">
        <v>0.06</v>
      </c>
      <c r="V239" s="10" t="n">
        <v>0.1</v>
      </c>
      <c r="W239" s="10" t="n">
        <v>0.06</v>
      </c>
      <c r="X239" s="10"/>
      <c r="Y239" s="8" t="n">
        <v>0</v>
      </c>
      <c r="Z239" s="8" t="s">
        <v>74</v>
      </c>
      <c r="AA239" s="8" t="n">
        <v>41</v>
      </c>
      <c r="AB239" s="8" t="n">
        <v>1</v>
      </c>
      <c r="AC239" s="11" t="n">
        <f aca="false">IF(AND(ISNUMBER(AA239),ISNUMBER(D239),D239&gt;0),AA239/D239*100,"")</f>
        <v>1.46063412896331</v>
      </c>
      <c r="AD239" s="12" t="n">
        <v>580</v>
      </c>
      <c r="AE239" s="8" t="s">
        <v>74</v>
      </c>
      <c r="AF239" s="8" t="s">
        <v>77</v>
      </c>
      <c r="AG239" s="12" t="n">
        <v>349</v>
      </c>
      <c r="AH239" s="12" t="n">
        <v>349</v>
      </c>
      <c r="AI239" s="12" t="n">
        <v>358</v>
      </c>
      <c r="AJ239" s="12" t="n">
        <v>367</v>
      </c>
      <c r="AK239" s="8" t="n">
        <v>20</v>
      </c>
      <c r="AL239" s="10" t="n">
        <v>0.6</v>
      </c>
      <c r="AM239" s="8" t="s">
        <v>77</v>
      </c>
      <c r="AN239" s="12"/>
      <c r="AO239" s="8" t="s">
        <v>74</v>
      </c>
      <c r="AP239" s="8" t="s">
        <v>74</v>
      </c>
      <c r="AQ239" s="10" t="n">
        <v>0.9</v>
      </c>
      <c r="AR239" s="8" t="n">
        <v>3</v>
      </c>
      <c r="AS239" s="8" t="n">
        <v>3</v>
      </c>
      <c r="AT239" s="8"/>
      <c r="AU239" s="8"/>
      <c r="AV239" s="8"/>
      <c r="AW239" s="8"/>
      <c r="AX239" s="8"/>
      <c r="AY239" s="8"/>
      <c r="AZ239" s="8"/>
      <c r="BA239" s="8" t="n">
        <v>3</v>
      </c>
      <c r="BB239" s="8"/>
      <c r="BC239" s="8"/>
      <c r="BD239" s="8"/>
      <c r="BE239" s="8"/>
      <c r="BF239" s="8"/>
      <c r="BG239" s="8"/>
      <c r="BH239" s="8" t="n">
        <v>3</v>
      </c>
      <c r="BI239" s="8" t="n">
        <v>3</v>
      </c>
      <c r="BJ239" s="9" t="n">
        <v>221</v>
      </c>
      <c r="BK239" s="9" t="n">
        <v>110</v>
      </c>
      <c r="BL239" s="9" t="n">
        <v>20</v>
      </c>
      <c r="BM239" s="9" t="n">
        <v>107</v>
      </c>
      <c r="BN239" s="10" t="n">
        <v>0.3</v>
      </c>
      <c r="BO239" s="10" t="n">
        <v>0.3</v>
      </c>
      <c r="BP239" s="10" t="n">
        <f aca="false">IF(AND(ISNUMBER(BN239),ISNUMBER(BO239)),BN239+BO239,"")</f>
        <v>0.6</v>
      </c>
      <c r="BQ239" s="10" t="n">
        <v>0.2</v>
      </c>
      <c r="BR239" s="10" t="n">
        <v>0.1</v>
      </c>
      <c r="BS239" s="10" t="n">
        <v>0.1</v>
      </c>
    </row>
    <row r="240" customFormat="false" ht="15" hidden="false" customHeight="false" outlineLevel="0" collapsed="false">
      <c r="A240" s="8" t="s">
        <v>117</v>
      </c>
      <c r="B240" s="8" t="s">
        <v>123</v>
      </c>
      <c r="C240" s="8" t="n">
        <v>6</v>
      </c>
      <c r="D240" s="9" t="n">
        <v>1151</v>
      </c>
      <c r="E240" s="9" t="n">
        <v>320</v>
      </c>
      <c r="F240" s="8" t="s">
        <v>92</v>
      </c>
      <c r="G240" s="8" t="s">
        <v>74</v>
      </c>
      <c r="H240" s="10" t="n">
        <v>0.7</v>
      </c>
      <c r="I240" s="10" t="n">
        <v>0.102</v>
      </c>
      <c r="J240" s="10" t="n">
        <v>0.035</v>
      </c>
      <c r="K240" s="8" t="n">
        <v>0</v>
      </c>
      <c r="L240" s="8" t="n">
        <v>7</v>
      </c>
      <c r="M240" s="10" t="n">
        <v>0.117</v>
      </c>
      <c r="N240" s="8" t="n">
        <v>0</v>
      </c>
      <c r="O240" s="9" t="n">
        <v>121</v>
      </c>
      <c r="P240" s="10" t="n">
        <f aca="false">IF(AND(ISNUMBER(O240),ISNUMBER(D240),D240&gt;0),O240/D240,"")</f>
        <v>0.105125977410947</v>
      </c>
      <c r="Q240" s="9" t="n">
        <v>64</v>
      </c>
      <c r="R240" s="9" t="n">
        <v>64</v>
      </c>
      <c r="S240" s="9" t="n">
        <v>1162</v>
      </c>
      <c r="T240" s="11" t="n">
        <f aca="false">IF(AND(ISNUMBER(S240),ISNUMBER(D240),D240&gt;0),S240/D240,"")</f>
        <v>1.00955690703736</v>
      </c>
      <c r="U240" s="10" t="n">
        <v>0.058</v>
      </c>
      <c r="V240" s="10" t="n">
        <v>0.095</v>
      </c>
      <c r="W240" s="10" t="n">
        <v>0.11</v>
      </c>
      <c r="X240" s="10" t="n">
        <v>0.065</v>
      </c>
      <c r="Y240" s="8" t="n">
        <v>0</v>
      </c>
      <c r="Z240" s="8" t="s">
        <v>74</v>
      </c>
      <c r="AA240" s="8" t="n">
        <v>22</v>
      </c>
      <c r="AB240" s="8" t="n">
        <v>0</v>
      </c>
      <c r="AC240" s="11" t="n">
        <f aca="false">IF(AND(ISNUMBER(AA240),ISNUMBER(D240),D240&gt;0),AA240/D240*100,"")</f>
        <v>1.91138140747176</v>
      </c>
      <c r="AD240" s="12" t="n">
        <v>4355</v>
      </c>
      <c r="AE240" s="8" t="s">
        <v>74</v>
      </c>
      <c r="AF240" s="8" t="s">
        <v>77</v>
      </c>
      <c r="AG240" s="12" t="n">
        <v>322.12</v>
      </c>
      <c r="AH240" s="12" t="n">
        <v>363.25</v>
      </c>
      <c r="AI240" s="12" t="n">
        <v>439.61</v>
      </c>
      <c r="AJ240" s="12" t="n">
        <v>540.94</v>
      </c>
      <c r="AK240" s="8" t="n">
        <v>26</v>
      </c>
      <c r="AL240" s="10" t="n">
        <v>0.7</v>
      </c>
      <c r="AM240" s="8" t="s">
        <v>74</v>
      </c>
      <c r="AN240" s="12" t="n">
        <v>46</v>
      </c>
      <c r="AO240" s="8" t="s">
        <v>77</v>
      </c>
      <c r="AP240" s="8" t="s">
        <v>74</v>
      </c>
      <c r="AQ240" s="10" t="n">
        <v>0.97</v>
      </c>
      <c r="AR240" s="8" t="n">
        <v>4</v>
      </c>
      <c r="AS240" s="8" t="n">
        <v>0</v>
      </c>
      <c r="AT240" s="8" t="n">
        <v>1</v>
      </c>
      <c r="AU240" s="8" t="n">
        <v>3</v>
      </c>
      <c r="AV240" s="8" t="n">
        <v>2</v>
      </c>
      <c r="AW240" s="8" t="n">
        <v>1</v>
      </c>
      <c r="AX240" s="8" t="n">
        <v>1</v>
      </c>
      <c r="AY240" s="8" t="n">
        <v>2</v>
      </c>
      <c r="AZ240" s="8" t="n">
        <v>1</v>
      </c>
      <c r="BA240" s="8" t="n">
        <v>1</v>
      </c>
      <c r="BB240" s="8" t="n">
        <v>4</v>
      </c>
      <c r="BC240" s="8" t="n">
        <v>4</v>
      </c>
      <c r="BD240" s="8" t="n">
        <v>3</v>
      </c>
      <c r="BE240" s="8" t="n">
        <v>2</v>
      </c>
      <c r="BF240" s="8" t="n">
        <v>2</v>
      </c>
      <c r="BG240" s="8" t="n">
        <v>1</v>
      </c>
      <c r="BH240" s="8" t="n">
        <v>3</v>
      </c>
      <c r="BI240" s="8" t="n">
        <v>5</v>
      </c>
      <c r="BJ240" s="9" t="n">
        <v>85</v>
      </c>
      <c r="BK240" s="9" t="n">
        <v>33</v>
      </c>
      <c r="BL240" s="9" t="n">
        <v>3</v>
      </c>
      <c r="BM240" s="9" t="n">
        <v>7</v>
      </c>
      <c r="BN240" s="10" t="n">
        <v>0</v>
      </c>
      <c r="BO240" s="10" t="n">
        <v>0.5</v>
      </c>
      <c r="BP240" s="10" t="n">
        <f aca="false">IF(AND(ISNUMBER(BN240),ISNUMBER(BO240)),BN240+BO240,"")</f>
        <v>0.5</v>
      </c>
      <c r="BQ240" s="10" t="n">
        <v>0.3</v>
      </c>
      <c r="BR240" s="10" t="n">
        <v>0.1</v>
      </c>
      <c r="BS240" s="10" t="n">
        <v>0.1</v>
      </c>
    </row>
    <row r="241" customFormat="false" ht="15" hidden="false" customHeight="false" outlineLevel="0" collapsed="false">
      <c r="A241" s="8" t="s">
        <v>118</v>
      </c>
      <c r="B241" s="8" t="s">
        <v>123</v>
      </c>
      <c r="C241" s="8" t="n">
        <v>6</v>
      </c>
      <c r="D241" s="9" t="n">
        <v>329</v>
      </c>
      <c r="E241" s="9" t="n">
        <v>97</v>
      </c>
      <c r="F241" s="8" t="s">
        <v>73</v>
      </c>
      <c r="G241" s="8" t="s">
        <v>74</v>
      </c>
      <c r="H241" s="10" t="n">
        <v>0.1</v>
      </c>
      <c r="I241" s="10" t="n">
        <v>0.008</v>
      </c>
      <c r="J241" s="10"/>
      <c r="K241" s="8" t="n">
        <v>0</v>
      </c>
      <c r="L241" s="8" t="n">
        <v>60</v>
      </c>
      <c r="M241" s="10" t="n">
        <v>0.004</v>
      </c>
      <c r="N241" s="8" t="n">
        <v>0</v>
      </c>
      <c r="O241" s="9" t="n">
        <v>6</v>
      </c>
      <c r="P241" s="10" t="n">
        <f aca="false">IF(AND(ISNUMBER(O241),ISNUMBER(D241),D241&gt;0),O241/D241,"")</f>
        <v>0.0182370820668693</v>
      </c>
      <c r="Q241" s="9" t="n">
        <v>4</v>
      </c>
      <c r="R241" s="9" t="n">
        <v>3</v>
      </c>
      <c r="S241" s="9" t="n">
        <v>26</v>
      </c>
      <c r="T241" s="11" t="n">
        <f aca="false">IF(AND(ISNUMBER(S241),ISNUMBER(D241),D241&gt;0),S241/D241,"")</f>
        <v>0.0790273556231003</v>
      </c>
      <c r="U241" s="10" t="n">
        <v>0.065</v>
      </c>
      <c r="V241" s="10" t="n">
        <v>0.12</v>
      </c>
      <c r="W241" s="10" t="n">
        <v>0.095</v>
      </c>
      <c r="X241" s="10"/>
      <c r="Y241" s="8" t="n">
        <v>0</v>
      </c>
      <c r="Z241" s="8" t="s">
        <v>74</v>
      </c>
      <c r="AA241" s="8" t="n">
        <v>24</v>
      </c>
      <c r="AB241" s="8" t="n">
        <v>0</v>
      </c>
      <c r="AC241" s="11" t="n">
        <f aca="false">IF(AND(ISNUMBER(AA241),ISNUMBER(D241),D241&gt;0),AA241/D241*100,"")</f>
        <v>7.29483282674772</v>
      </c>
      <c r="AD241" s="12" t="n">
        <v>0</v>
      </c>
      <c r="AE241" s="8" t="s">
        <v>77</v>
      </c>
      <c r="AF241" s="8" t="s">
        <v>77</v>
      </c>
      <c r="AG241" s="12" t="n">
        <v>398</v>
      </c>
      <c r="AH241" s="12" t="n">
        <v>419</v>
      </c>
      <c r="AI241" s="12" t="n">
        <v>495</v>
      </c>
      <c r="AJ241" s="12" t="n">
        <v>596</v>
      </c>
      <c r="AK241" s="8" t="n">
        <v>23</v>
      </c>
      <c r="AL241" s="10" t="n">
        <v>0.7</v>
      </c>
      <c r="AM241" s="8" t="s">
        <v>74</v>
      </c>
      <c r="AN241" s="12" t="n">
        <v>34</v>
      </c>
      <c r="AO241" s="8" t="s">
        <v>77</v>
      </c>
      <c r="AP241" s="8" t="s">
        <v>74</v>
      </c>
      <c r="AQ241" s="10" t="n">
        <v>0.8</v>
      </c>
      <c r="AR241" s="8" t="n">
        <v>2</v>
      </c>
      <c r="AS241" s="8" t="n">
        <v>1</v>
      </c>
      <c r="AT241" s="8" t="n">
        <v>1</v>
      </c>
      <c r="AU241" s="8" t="n">
        <v>2</v>
      </c>
      <c r="AV241" s="8" t="n">
        <v>3</v>
      </c>
      <c r="AW241" s="8" t="n">
        <v>2</v>
      </c>
      <c r="AX241" s="8" t="n">
        <v>1</v>
      </c>
      <c r="AY241" s="8" t="n">
        <v>1</v>
      </c>
      <c r="AZ241" s="8" t="n">
        <v>1</v>
      </c>
      <c r="BA241" s="8" t="n">
        <v>1</v>
      </c>
      <c r="BB241" s="8" t="n">
        <v>3</v>
      </c>
      <c r="BC241" s="8" t="n">
        <v>2</v>
      </c>
      <c r="BD241" s="8" t="n">
        <v>1</v>
      </c>
      <c r="BE241" s="8" t="n">
        <v>1</v>
      </c>
      <c r="BF241" s="8" t="n">
        <v>2</v>
      </c>
      <c r="BG241" s="8" t="n">
        <v>2</v>
      </c>
      <c r="BH241" s="8" t="n">
        <v>3</v>
      </c>
      <c r="BI241" s="8" t="n">
        <v>1</v>
      </c>
      <c r="BJ241" s="9" t="n">
        <v>1</v>
      </c>
      <c r="BK241" s="9" t="n">
        <v>1</v>
      </c>
      <c r="BL241" s="9"/>
      <c r="BM241" s="9" t="n">
        <v>4</v>
      </c>
      <c r="BN241" s="10"/>
      <c r="BO241" s="10"/>
      <c r="BP241" s="10" t="str">
        <f aca="false">IF(AND(ISNUMBER(BN241),ISNUMBER(BO241)),BN241+BO241,"")</f>
        <v/>
      </c>
      <c r="BQ241" s="10"/>
      <c r="BR241" s="10"/>
      <c r="BS241" s="10"/>
    </row>
    <row r="242" customFormat="false" ht="15" hidden="false" customHeight="false" outlineLevel="0" collapsed="false">
      <c r="A242" s="8" t="s">
        <v>71</v>
      </c>
      <c r="B242" s="8" t="s">
        <v>124</v>
      </c>
      <c r="C242" s="8" t="n">
        <v>7</v>
      </c>
      <c r="D242" s="9" t="n">
        <v>143</v>
      </c>
      <c r="E242" s="9" t="n">
        <v>24</v>
      </c>
      <c r="F242" s="8" t="s">
        <v>73</v>
      </c>
      <c r="G242" s="8" t="s">
        <v>77</v>
      </c>
      <c r="H242" s="10" t="n">
        <v>0.7</v>
      </c>
      <c r="I242" s="10" t="n">
        <v>0.04</v>
      </c>
      <c r="J242" s="10" t="n">
        <v>0.01</v>
      </c>
      <c r="K242" s="8" t="n">
        <v>0</v>
      </c>
      <c r="L242" s="8" t="n">
        <v>15</v>
      </c>
      <c r="M242" s="10" t="n">
        <v>0.018</v>
      </c>
      <c r="N242" s="8" t="n">
        <v>0</v>
      </c>
      <c r="O242" s="9" t="n">
        <v>11</v>
      </c>
      <c r="P242" s="10" t="n">
        <f aca="false">IF(AND(ISNUMBER(O242),ISNUMBER(D242),D242&gt;0),O242/D242,"")</f>
        <v>0.0769230769230769</v>
      </c>
      <c r="Q242" s="9" t="n">
        <v>11</v>
      </c>
      <c r="R242" s="9" t="n">
        <v>4</v>
      </c>
      <c r="S242" s="9" t="n">
        <v>23</v>
      </c>
      <c r="T242" s="11" t="n">
        <f aca="false">IF(AND(ISNUMBER(S242),ISNUMBER(D242),D242&gt;0),S242/D242,"")</f>
        <v>0.160839160839161</v>
      </c>
      <c r="U242" s="10" t="n">
        <v>0.097</v>
      </c>
      <c r="V242" s="10" t="n">
        <v>0.15</v>
      </c>
      <c r="W242" s="10" t="n">
        <v>0.08</v>
      </c>
      <c r="X242" s="10" t="n">
        <v>0.1</v>
      </c>
      <c r="Y242" s="8" t="n">
        <v>0</v>
      </c>
      <c r="Z242" s="8" t="s">
        <v>74</v>
      </c>
      <c r="AA242" s="8" t="n">
        <v>15</v>
      </c>
      <c r="AB242" s="8" t="n">
        <v>0</v>
      </c>
      <c r="AC242" s="11" t="n">
        <f aca="false">IF(AND(ISNUMBER(AA242),ISNUMBER(D242),D242&gt;0),AA242/D242*100,"")</f>
        <v>10.4895104895105</v>
      </c>
      <c r="AD242" s="12" t="n">
        <v>3600</v>
      </c>
      <c r="AE242" s="8" t="s">
        <v>74</v>
      </c>
      <c r="AF242" s="8" t="s">
        <v>74</v>
      </c>
      <c r="AG242" s="12" t="n">
        <v>278.8</v>
      </c>
      <c r="AH242" s="12" t="n">
        <v>278.8</v>
      </c>
      <c r="AI242" s="12" t="n">
        <v>304.4</v>
      </c>
      <c r="AJ242" s="12" t="n">
        <v>329.73</v>
      </c>
      <c r="AK242" s="8" t="n">
        <v>16</v>
      </c>
      <c r="AL242" s="10" t="n">
        <v>0.25</v>
      </c>
      <c r="AM242" s="8" t="s">
        <v>74</v>
      </c>
      <c r="AN242" s="12" t="n">
        <v>32</v>
      </c>
      <c r="AO242" s="8" t="s">
        <v>74</v>
      </c>
      <c r="AP242" s="8" t="s">
        <v>74</v>
      </c>
      <c r="AQ242" s="10" t="n">
        <v>0.8</v>
      </c>
      <c r="AR242" s="8" t="n">
        <v>5</v>
      </c>
      <c r="AS242" s="8" t="n">
        <v>3</v>
      </c>
      <c r="AT242" s="8" t="n">
        <v>0</v>
      </c>
      <c r="AU242" s="8" t="n">
        <v>0</v>
      </c>
      <c r="AV242" s="8" t="n">
        <v>0</v>
      </c>
      <c r="AW242" s="8" t="n">
        <v>3</v>
      </c>
      <c r="AX242" s="8" t="n">
        <v>2</v>
      </c>
      <c r="AY242" s="8" t="n">
        <v>2</v>
      </c>
      <c r="AZ242" s="8" t="n">
        <v>4</v>
      </c>
      <c r="BA242" s="8" t="n">
        <v>4</v>
      </c>
      <c r="BB242" s="8" t="n">
        <v>3</v>
      </c>
      <c r="BC242" s="8" t="n">
        <v>5</v>
      </c>
      <c r="BD242" s="8" t="n">
        <v>4</v>
      </c>
      <c r="BE242" s="8" t="n">
        <v>4</v>
      </c>
      <c r="BF242" s="8" t="n">
        <v>4</v>
      </c>
      <c r="BG242" s="8" t="n">
        <v>0</v>
      </c>
      <c r="BH242" s="8" t="n">
        <v>5</v>
      </c>
      <c r="BI242" s="8" t="n">
        <v>5</v>
      </c>
      <c r="BJ242" s="9" t="n">
        <v>2</v>
      </c>
      <c r="BK242" s="9" t="n">
        <v>0</v>
      </c>
      <c r="BL242" s="9" t="n">
        <v>2</v>
      </c>
      <c r="BM242" s="9" t="n">
        <v>7</v>
      </c>
      <c r="BN242" s="10" t="n">
        <v>0.2</v>
      </c>
      <c r="BO242" s="10" t="n">
        <v>0.3</v>
      </c>
      <c r="BP242" s="10" t="n">
        <f aca="false">IF(AND(ISNUMBER(BN242),ISNUMBER(BO242)),BN242+BO242,"")</f>
        <v>0.5</v>
      </c>
      <c r="BQ242" s="10" t="n">
        <v>0.3</v>
      </c>
      <c r="BR242" s="10" t="n">
        <v>0.2</v>
      </c>
      <c r="BS242" s="10" t="n">
        <v>0</v>
      </c>
    </row>
    <row r="243" customFormat="false" ht="15" hidden="false" customHeight="false" outlineLevel="0" collapsed="false">
      <c r="A243" s="8" t="s">
        <v>75</v>
      </c>
      <c r="B243" s="8" t="s">
        <v>124</v>
      </c>
      <c r="C243" s="8" t="n">
        <v>7</v>
      </c>
      <c r="D243" s="9" t="n">
        <v>331</v>
      </c>
      <c r="E243" s="9" t="n">
        <v>136</v>
      </c>
      <c r="F243" s="8" t="s">
        <v>76</v>
      </c>
      <c r="G243" s="8" t="s">
        <v>74</v>
      </c>
      <c r="H243" s="10" t="n">
        <v>0.8</v>
      </c>
      <c r="I243" s="10" t="n">
        <v>0.01</v>
      </c>
      <c r="J243" s="10" t="n">
        <v>0.01</v>
      </c>
      <c r="K243" s="8" t="n">
        <v>0</v>
      </c>
      <c r="L243" s="8" t="n">
        <v>30</v>
      </c>
      <c r="M243" s="10" t="n">
        <v>0.015</v>
      </c>
      <c r="N243" s="8" t="n">
        <v>0</v>
      </c>
      <c r="O243" s="9" t="n">
        <v>16</v>
      </c>
      <c r="P243" s="10" t="n">
        <f aca="false">IF(AND(ISNUMBER(O243),ISNUMBER(D243),D243&gt;0),O243/D243,"")</f>
        <v>0.0483383685800604</v>
      </c>
      <c r="Q243" s="9" t="n">
        <v>35</v>
      </c>
      <c r="R243" s="9" t="n">
        <v>10</v>
      </c>
      <c r="S243" s="9" t="n">
        <v>53</v>
      </c>
      <c r="T243" s="11" t="n">
        <f aca="false">IF(AND(ISNUMBER(S243),ISNUMBER(D243),D243&gt;0),S243/D243,"")</f>
        <v>0.16012084592145</v>
      </c>
      <c r="U243" s="10" t="n">
        <v>0.08</v>
      </c>
      <c r="V243" s="10" t="n">
        <v>0.11</v>
      </c>
      <c r="W243" s="10" t="n">
        <v>0.085</v>
      </c>
      <c r="X243" s="10" t="n">
        <v>0.03</v>
      </c>
      <c r="Y243" s="8" t="n">
        <v>0</v>
      </c>
      <c r="Z243" s="8" t="s">
        <v>74</v>
      </c>
      <c r="AA243" s="8" t="n">
        <v>22</v>
      </c>
      <c r="AB243" s="8" t="n">
        <v>0</v>
      </c>
      <c r="AC243" s="11" t="n">
        <f aca="false">IF(AND(ISNUMBER(AA243),ISNUMBER(D243),D243&gt;0),AA243/D243*100,"")</f>
        <v>6.64652567975831</v>
      </c>
      <c r="AD243" s="12" t="n">
        <v>2800</v>
      </c>
      <c r="AE243" s="8" t="s">
        <v>74</v>
      </c>
      <c r="AF243" s="8" t="s">
        <v>77</v>
      </c>
      <c r="AG243" s="12" t="n">
        <v>375</v>
      </c>
      <c r="AH243" s="12" t="n">
        <v>432</v>
      </c>
      <c r="AI243" s="12" t="n">
        <v>491</v>
      </c>
      <c r="AJ243" s="12" t="n">
        <v>740</v>
      </c>
      <c r="AK243" s="8" t="n">
        <v>20</v>
      </c>
      <c r="AL243" s="10" t="n">
        <v>1.5</v>
      </c>
      <c r="AM243" s="8" t="s">
        <v>74</v>
      </c>
      <c r="AN243" s="12" t="n">
        <v>29</v>
      </c>
      <c r="AO243" s="8" t="s">
        <v>77</v>
      </c>
      <c r="AP243" s="8" t="s">
        <v>74</v>
      </c>
      <c r="AQ243" s="10" t="n">
        <v>0.8</v>
      </c>
      <c r="AR243" s="8" t="n">
        <v>2</v>
      </c>
      <c r="AS243" s="8" t="n">
        <v>1</v>
      </c>
      <c r="AT243" s="8" t="n">
        <v>1</v>
      </c>
      <c r="AU243" s="8" t="n">
        <v>1</v>
      </c>
      <c r="AV243" s="8" t="n">
        <v>0</v>
      </c>
      <c r="AW243" s="8" t="n">
        <v>0</v>
      </c>
      <c r="AX243" s="8" t="n">
        <v>1</v>
      </c>
      <c r="AY243" s="8" t="n">
        <v>2</v>
      </c>
      <c r="AZ243" s="8" t="n">
        <v>2</v>
      </c>
      <c r="BA243" s="8" t="n">
        <v>2</v>
      </c>
      <c r="BB243" s="8" t="n">
        <v>1</v>
      </c>
      <c r="BC243" s="8" t="n">
        <v>1</v>
      </c>
      <c r="BD243" s="8" t="n">
        <v>0</v>
      </c>
      <c r="BE243" s="8" t="n">
        <v>1</v>
      </c>
      <c r="BF243" s="8" t="n">
        <v>1</v>
      </c>
      <c r="BG243" s="8" t="n">
        <v>0</v>
      </c>
      <c r="BH243" s="8" t="n">
        <v>1</v>
      </c>
      <c r="BI243" s="8" t="n">
        <v>2</v>
      </c>
      <c r="BJ243" s="9" t="n">
        <v>6</v>
      </c>
      <c r="BK243" s="9" t="n">
        <v>2</v>
      </c>
      <c r="BL243" s="9" t="n">
        <v>1</v>
      </c>
      <c r="BM243" s="9" t="n">
        <v>9</v>
      </c>
      <c r="BN243" s="10" t="n">
        <v>0.1</v>
      </c>
      <c r="BO243" s="10" t="n">
        <v>0.1</v>
      </c>
      <c r="BP243" s="10" t="n">
        <f aca="false">IF(AND(ISNUMBER(BN243),ISNUMBER(BO243)),BN243+BO243,"")</f>
        <v>0.2</v>
      </c>
      <c r="BQ243" s="10" t="n">
        <v>0.3</v>
      </c>
      <c r="BR243" s="10" t="n">
        <v>0.3</v>
      </c>
      <c r="BS243" s="10" t="n">
        <v>0.2</v>
      </c>
    </row>
    <row r="244" customFormat="false" ht="15" hidden="false" customHeight="false" outlineLevel="0" collapsed="false">
      <c r="A244" s="8" t="s">
        <v>78</v>
      </c>
      <c r="B244" s="8" t="s">
        <v>124</v>
      </c>
      <c r="C244" s="8" t="n">
        <v>7</v>
      </c>
      <c r="D244" s="9" t="n">
        <v>76</v>
      </c>
      <c r="E244" s="9" t="n">
        <v>58</v>
      </c>
      <c r="F244" s="8" t="s">
        <v>73</v>
      </c>
      <c r="G244" s="8" t="s">
        <v>74</v>
      </c>
      <c r="H244" s="10" t="n">
        <v>0</v>
      </c>
      <c r="I244" s="10" t="n">
        <v>0.002</v>
      </c>
      <c r="J244" s="10" t="n">
        <v>0.015</v>
      </c>
      <c r="K244" s="8" t="n">
        <v>0</v>
      </c>
      <c r="L244" s="8" t="n">
        <v>15</v>
      </c>
      <c r="M244" s="10" t="n">
        <v>0.008</v>
      </c>
      <c r="N244" s="8" t="n">
        <v>0</v>
      </c>
      <c r="O244" s="9" t="n">
        <v>0</v>
      </c>
      <c r="P244" s="10" t="n">
        <f aca="false">IF(AND(ISNUMBER(O244),ISNUMBER(D244),D244&gt;0),O244/D244,"")</f>
        <v>0</v>
      </c>
      <c r="Q244" s="9" t="n">
        <v>5</v>
      </c>
      <c r="R244" s="9" t="n">
        <v>5</v>
      </c>
      <c r="S244" s="9" t="n">
        <v>80</v>
      </c>
      <c r="T244" s="11" t="n">
        <f aca="false">IF(AND(ISNUMBER(S244),ISNUMBER(D244),D244&gt;0),S244/D244,"")</f>
        <v>1.05263157894737</v>
      </c>
      <c r="U244" s="10" t="n">
        <v>0.1</v>
      </c>
      <c r="V244" s="10" t="n">
        <v>0.105</v>
      </c>
      <c r="W244" s="10" t="n">
        <v>0.095</v>
      </c>
      <c r="X244" s="10" t="n">
        <v>0.175</v>
      </c>
      <c r="Y244" s="8" t="n">
        <v>0</v>
      </c>
      <c r="Z244" s="8" t="s">
        <v>74</v>
      </c>
      <c r="AA244" s="8" t="n">
        <v>5</v>
      </c>
      <c r="AB244" s="8" t="n">
        <v>0</v>
      </c>
      <c r="AC244" s="11" t="n">
        <f aca="false">IF(AND(ISNUMBER(AA244),ISNUMBER(D244),D244&gt;0),AA244/D244*100,"")</f>
        <v>6.57894736842105</v>
      </c>
      <c r="AD244" s="12" t="n">
        <v>1970</v>
      </c>
      <c r="AE244" s="8" t="s">
        <v>74</v>
      </c>
      <c r="AF244" s="8" t="s">
        <v>74</v>
      </c>
      <c r="AG244" s="12" t="n">
        <v>370</v>
      </c>
      <c r="AH244" s="12" t="n">
        <v>396</v>
      </c>
      <c r="AI244" s="12" t="n">
        <v>430</v>
      </c>
      <c r="AJ244" s="12" t="n">
        <v>641</v>
      </c>
      <c r="AK244" s="8" t="n">
        <v>24</v>
      </c>
      <c r="AL244" s="10" t="n">
        <v>0.45</v>
      </c>
      <c r="AM244" s="8" t="s">
        <v>74</v>
      </c>
      <c r="AN244" s="12" t="n">
        <v>42</v>
      </c>
      <c r="AO244" s="8" t="s">
        <v>77</v>
      </c>
      <c r="AP244" s="8" t="s">
        <v>74</v>
      </c>
      <c r="AQ244" s="10" t="n">
        <v>0.9</v>
      </c>
      <c r="AR244" s="8" t="n">
        <v>1</v>
      </c>
      <c r="AS244" s="8" t="n">
        <v>0</v>
      </c>
      <c r="AT244" s="8" t="n">
        <v>0</v>
      </c>
      <c r="AU244" s="8" t="n">
        <v>1</v>
      </c>
      <c r="AV244" s="8" t="n">
        <v>0</v>
      </c>
      <c r="AW244" s="8" t="n">
        <v>0</v>
      </c>
      <c r="AX244" s="8" t="n">
        <v>0</v>
      </c>
      <c r="AY244" s="8" t="n">
        <v>1</v>
      </c>
      <c r="AZ244" s="8" t="n">
        <v>1</v>
      </c>
      <c r="BA244" s="8" t="n">
        <v>1</v>
      </c>
      <c r="BB244" s="8" t="n">
        <v>1</v>
      </c>
      <c r="BC244" s="8" t="n">
        <v>1</v>
      </c>
      <c r="BD244" s="8" t="n">
        <v>1</v>
      </c>
      <c r="BE244" s="8" t="n">
        <v>0</v>
      </c>
      <c r="BF244" s="8" t="n">
        <v>1</v>
      </c>
      <c r="BG244" s="8" t="n">
        <v>0</v>
      </c>
      <c r="BH244" s="8" t="n">
        <v>1</v>
      </c>
      <c r="BI244" s="8" t="n">
        <v>3</v>
      </c>
      <c r="BJ244" s="9" t="n">
        <v>0</v>
      </c>
      <c r="BK244" s="9" t="n">
        <v>0</v>
      </c>
      <c r="BL244" s="9" t="n">
        <v>0</v>
      </c>
      <c r="BM244" s="9" t="n">
        <v>0</v>
      </c>
      <c r="BN244" s="10" t="n">
        <v>0</v>
      </c>
      <c r="BO244" s="10" t="n">
        <v>0</v>
      </c>
      <c r="BP244" s="10" t="n">
        <f aca="false">IF(AND(ISNUMBER(BN244),ISNUMBER(BO244)),BN244+BO244,"")</f>
        <v>0</v>
      </c>
      <c r="BQ244" s="10" t="n">
        <v>0</v>
      </c>
      <c r="BR244" s="10" t="n">
        <v>0.9</v>
      </c>
      <c r="BS244" s="10" t="n">
        <v>0.1</v>
      </c>
    </row>
    <row r="245" customFormat="false" ht="15" hidden="false" customHeight="false" outlineLevel="0" collapsed="false">
      <c r="A245" s="8" t="s">
        <v>79</v>
      </c>
      <c r="B245" s="8" t="s">
        <v>124</v>
      </c>
      <c r="C245" s="8" t="n">
        <v>7</v>
      </c>
      <c r="D245" s="9" t="n">
        <v>8</v>
      </c>
      <c r="E245" s="9" t="n">
        <v>16</v>
      </c>
      <c r="F245" s="8" t="s">
        <v>73</v>
      </c>
      <c r="G245" s="8" t="s">
        <v>77</v>
      </c>
      <c r="H245" s="10" t="n">
        <v>0</v>
      </c>
      <c r="I245" s="10" t="n">
        <v>0.15</v>
      </c>
      <c r="J245" s="10" t="n">
        <v>0.15</v>
      </c>
      <c r="K245" s="8" t="n">
        <v>1</v>
      </c>
      <c r="L245" s="8" t="n">
        <v>15</v>
      </c>
      <c r="M245" s="10"/>
      <c r="N245" s="8" t="n">
        <v>0</v>
      </c>
      <c r="O245" s="9" t="n">
        <v>0</v>
      </c>
      <c r="P245" s="10" t="n">
        <f aca="false">IF(AND(ISNUMBER(O245),ISNUMBER(D245),D245&gt;0),O245/D245,"")</f>
        <v>0</v>
      </c>
      <c r="Q245" s="9"/>
      <c r="R245" s="9" t="n">
        <v>0</v>
      </c>
      <c r="S245" s="9" t="n">
        <v>0</v>
      </c>
      <c r="T245" s="11" t="n">
        <f aca="false">IF(AND(ISNUMBER(S245),ISNUMBER(D245),D245&gt;0),S245/D245,"")</f>
        <v>0</v>
      </c>
      <c r="U245" s="10" t="n">
        <v>0.045</v>
      </c>
      <c r="V245" s="10" t="n">
        <v>0.09</v>
      </c>
      <c r="W245" s="10" t="n">
        <v>0.03</v>
      </c>
      <c r="X245" s="10"/>
      <c r="Y245" s="8" t="n">
        <v>0</v>
      </c>
      <c r="Z245" s="8" t="s">
        <v>77</v>
      </c>
      <c r="AA245" s="8" t="n">
        <v>0</v>
      </c>
      <c r="AB245" s="8" t="n">
        <v>0</v>
      </c>
      <c r="AC245" s="11" t="n">
        <f aca="false">IF(AND(ISNUMBER(AA245),ISNUMBER(D245),D245&gt;0),AA245/D245*100,"")</f>
        <v>0</v>
      </c>
      <c r="AD245" s="12"/>
      <c r="AE245" s="8" t="s">
        <v>74</v>
      </c>
      <c r="AF245" s="8" t="s">
        <v>74</v>
      </c>
      <c r="AG245" s="12" t="n">
        <v>278.8</v>
      </c>
      <c r="AH245" s="12" t="n">
        <v>313.75</v>
      </c>
      <c r="AI245" s="12" t="n">
        <v>351.37</v>
      </c>
      <c r="AJ245" s="12" t="n">
        <v>370</v>
      </c>
      <c r="AK245" s="8" t="n">
        <v>15</v>
      </c>
      <c r="AL245" s="10" t="n">
        <v>1</v>
      </c>
      <c r="AM245" s="8" t="s">
        <v>77</v>
      </c>
      <c r="AN245" s="12"/>
      <c r="AO245" s="8" t="s">
        <v>77</v>
      </c>
      <c r="AP245" s="8" t="s">
        <v>77</v>
      </c>
      <c r="AQ245" s="10"/>
      <c r="AR245" s="8" t="n">
        <v>3</v>
      </c>
      <c r="AS245" s="8" t="n">
        <v>3</v>
      </c>
      <c r="AT245" s="8" t="n">
        <v>3</v>
      </c>
      <c r="AU245" s="8" t="n">
        <v>3</v>
      </c>
      <c r="AV245" s="8" t="n">
        <v>2</v>
      </c>
      <c r="AW245" s="8" t="n">
        <v>0</v>
      </c>
      <c r="AX245" s="8" t="n">
        <v>0</v>
      </c>
      <c r="AY245" s="8" t="n">
        <v>0</v>
      </c>
      <c r="AZ245" s="8" t="n">
        <v>0</v>
      </c>
      <c r="BA245" s="8" t="n">
        <v>0</v>
      </c>
      <c r="BB245" s="8" t="n">
        <v>0</v>
      </c>
      <c r="BC245" s="8" t="n">
        <v>0</v>
      </c>
      <c r="BD245" s="8" t="n">
        <v>0</v>
      </c>
      <c r="BE245" s="8" t="n">
        <v>0</v>
      </c>
      <c r="BF245" s="8" t="n">
        <v>0</v>
      </c>
      <c r="BG245" s="8"/>
      <c r="BH245" s="8" t="n">
        <v>0</v>
      </c>
      <c r="BI245" s="8" t="n">
        <v>0</v>
      </c>
      <c r="BJ245" s="9" t="n">
        <v>0</v>
      </c>
      <c r="BK245" s="9" t="n">
        <v>0</v>
      </c>
      <c r="BL245" s="9" t="n">
        <v>0</v>
      </c>
      <c r="BM245" s="9" t="n">
        <v>0</v>
      </c>
      <c r="BN245" s="10" t="n">
        <v>0</v>
      </c>
      <c r="BO245" s="10" t="n">
        <v>0</v>
      </c>
      <c r="BP245" s="10" t="n">
        <f aca="false">IF(AND(ISNUMBER(BN245),ISNUMBER(BO245)),BN245+BO245,"")</f>
        <v>0</v>
      </c>
      <c r="BQ245" s="10" t="n">
        <v>1</v>
      </c>
      <c r="BR245" s="10" t="n">
        <v>0</v>
      </c>
      <c r="BS245" s="10" t="n">
        <v>0</v>
      </c>
    </row>
    <row r="246" customFormat="false" ht="15" hidden="false" customHeight="false" outlineLevel="0" collapsed="false">
      <c r="A246" s="8" t="s">
        <v>80</v>
      </c>
      <c r="B246" s="8" t="s">
        <v>124</v>
      </c>
      <c r="C246" s="8" t="n">
        <v>7</v>
      </c>
      <c r="D246" s="9" t="n">
        <v>99</v>
      </c>
      <c r="E246" s="9" t="n">
        <v>51</v>
      </c>
      <c r="F246" s="8" t="s">
        <v>81</v>
      </c>
      <c r="G246" s="8" t="s">
        <v>74</v>
      </c>
      <c r="H246" s="10" t="n">
        <v>0</v>
      </c>
      <c r="I246" s="10" t="n">
        <v>0.014</v>
      </c>
      <c r="J246" s="10" t="n">
        <v>0.01</v>
      </c>
      <c r="K246" s="8" t="n">
        <v>0</v>
      </c>
      <c r="L246" s="8" t="n">
        <v>7</v>
      </c>
      <c r="M246" s="10" t="n">
        <v>0.008</v>
      </c>
      <c r="N246" s="8" t="n">
        <v>0</v>
      </c>
      <c r="O246" s="9" t="n">
        <v>8</v>
      </c>
      <c r="P246" s="10" t="n">
        <f aca="false">IF(AND(ISNUMBER(O246),ISNUMBER(D246),D246&gt;0),O246/D246,"")</f>
        <v>0.0808080808080808</v>
      </c>
      <c r="Q246" s="9" t="n">
        <v>4</v>
      </c>
      <c r="R246" s="9" t="n">
        <v>3</v>
      </c>
      <c r="S246" s="9" t="n">
        <v>15</v>
      </c>
      <c r="T246" s="11" t="n">
        <f aca="false">IF(AND(ISNUMBER(S246),ISNUMBER(D246),D246&gt;0),S246/D246,"")</f>
        <v>0.151515151515152</v>
      </c>
      <c r="U246" s="10" t="n">
        <v>0.087</v>
      </c>
      <c r="V246" s="10" t="n">
        <v>0.1</v>
      </c>
      <c r="W246" s="10" t="n">
        <v>0.07</v>
      </c>
      <c r="X246" s="10" t="n">
        <v>0.05</v>
      </c>
      <c r="Y246" s="8" t="n">
        <v>0</v>
      </c>
      <c r="Z246" s="8" t="s">
        <v>74</v>
      </c>
      <c r="AA246" s="8" t="n">
        <v>11</v>
      </c>
      <c r="AB246" s="8" t="n">
        <v>0</v>
      </c>
      <c r="AC246" s="11" t="n">
        <f aca="false">IF(AND(ISNUMBER(AA246),ISNUMBER(D246),D246&gt;0),AA246/D246*100,"")</f>
        <v>11.1111111111111</v>
      </c>
      <c r="AD246" s="12" t="n">
        <v>1250</v>
      </c>
      <c r="AE246" s="8" t="s">
        <v>74</v>
      </c>
      <c r="AF246" s="8" t="s">
        <v>77</v>
      </c>
      <c r="AG246" s="12" t="n">
        <v>299</v>
      </c>
      <c r="AH246" s="12" t="n">
        <v>318</v>
      </c>
      <c r="AI246" s="12" t="n">
        <v>360</v>
      </c>
      <c r="AJ246" s="12" t="n">
        <v>400</v>
      </c>
      <c r="AK246" s="8" t="n">
        <v>21</v>
      </c>
      <c r="AL246" s="10" t="n">
        <v>0.5</v>
      </c>
      <c r="AM246" s="8" t="s">
        <v>77</v>
      </c>
      <c r="AN246" s="12"/>
      <c r="AO246" s="8" t="s">
        <v>77</v>
      </c>
      <c r="AP246" s="8" t="s">
        <v>74</v>
      </c>
      <c r="AQ246" s="10" t="n">
        <v>0.8</v>
      </c>
      <c r="AR246" s="8" t="n">
        <v>2</v>
      </c>
      <c r="AS246" s="8" t="n">
        <v>1</v>
      </c>
      <c r="AT246" s="8"/>
      <c r="AU246" s="8" t="n">
        <v>1</v>
      </c>
      <c r="AV246" s="8" t="n">
        <v>2</v>
      </c>
      <c r="AW246" s="8" t="n">
        <v>2</v>
      </c>
      <c r="AX246" s="8" t="n">
        <v>2</v>
      </c>
      <c r="AY246" s="8" t="n">
        <v>1</v>
      </c>
      <c r="AZ246" s="8" t="n">
        <v>2</v>
      </c>
      <c r="BA246" s="8" t="n">
        <v>2</v>
      </c>
      <c r="BB246" s="8" t="n">
        <v>1</v>
      </c>
      <c r="BC246" s="8" t="n">
        <v>3</v>
      </c>
      <c r="BD246" s="8" t="n">
        <v>1</v>
      </c>
      <c r="BE246" s="8" t="n">
        <v>1</v>
      </c>
      <c r="BF246" s="8" t="n">
        <v>1</v>
      </c>
      <c r="BG246" s="8" t="n">
        <v>1</v>
      </c>
      <c r="BH246" s="8" t="n">
        <v>4</v>
      </c>
      <c r="BI246" s="8" t="n">
        <v>1</v>
      </c>
      <c r="BJ246" s="9" t="n">
        <v>5</v>
      </c>
      <c r="BK246" s="9" t="n">
        <v>0</v>
      </c>
      <c r="BL246" s="9" t="n">
        <v>0</v>
      </c>
      <c r="BM246" s="9" t="n">
        <v>2</v>
      </c>
      <c r="BN246" s="10" t="n">
        <v>0</v>
      </c>
      <c r="BO246" s="10" t="n">
        <v>0</v>
      </c>
      <c r="BP246" s="10" t="n">
        <f aca="false">IF(AND(ISNUMBER(BN246),ISNUMBER(BO246)),BN246+BO246,"")</f>
        <v>0</v>
      </c>
      <c r="BQ246" s="10" t="n">
        <v>0.3</v>
      </c>
      <c r="BR246" s="10" t="n">
        <v>0.4</v>
      </c>
      <c r="BS246" s="10" t="n">
        <v>0.3</v>
      </c>
    </row>
    <row r="247" customFormat="false" ht="15" hidden="false" customHeight="false" outlineLevel="0" collapsed="false">
      <c r="A247" s="8" t="s">
        <v>82</v>
      </c>
      <c r="B247" s="8" t="s">
        <v>124</v>
      </c>
      <c r="C247" s="8" t="n">
        <v>7</v>
      </c>
      <c r="D247" s="9" t="n">
        <v>200</v>
      </c>
      <c r="E247" s="9" t="n">
        <v>146</v>
      </c>
      <c r="F247" s="8" t="s">
        <v>76</v>
      </c>
      <c r="G247" s="8" t="s">
        <v>74</v>
      </c>
      <c r="H247" s="10" t="n">
        <v>0</v>
      </c>
      <c r="I247" s="10" t="n">
        <v>0.073</v>
      </c>
      <c r="J247" s="10" t="n">
        <v>0.043</v>
      </c>
      <c r="K247" s="8" t="n">
        <v>0</v>
      </c>
      <c r="L247" s="8" t="n">
        <v>15</v>
      </c>
      <c r="M247" s="10" t="n">
        <v>0.15</v>
      </c>
      <c r="N247" s="8" t="n">
        <v>1</v>
      </c>
      <c r="O247" s="9" t="n">
        <v>11</v>
      </c>
      <c r="P247" s="10" t="n">
        <f aca="false">IF(AND(ISNUMBER(O247),ISNUMBER(D247),D247&gt;0),O247/D247,"")</f>
        <v>0.055</v>
      </c>
      <c r="Q247" s="9" t="n">
        <v>2</v>
      </c>
      <c r="R247" s="9" t="n">
        <v>2</v>
      </c>
      <c r="S247" s="9" t="n">
        <v>72</v>
      </c>
      <c r="T247" s="11" t="n">
        <f aca="false">IF(AND(ISNUMBER(S247),ISNUMBER(D247),D247&gt;0),S247/D247,"")</f>
        <v>0.36</v>
      </c>
      <c r="U247" s="10" t="n">
        <v>0.12</v>
      </c>
      <c r="V247" s="10" t="n">
        <v>0.12</v>
      </c>
      <c r="W247" s="10" t="n">
        <v>0.1</v>
      </c>
      <c r="X247" s="10" t="n">
        <v>0.02</v>
      </c>
      <c r="Y247" s="8" t="n">
        <v>0</v>
      </c>
      <c r="Z247" s="8" t="s">
        <v>74</v>
      </c>
      <c r="AA247" s="8" t="n">
        <v>5</v>
      </c>
      <c r="AB247" s="8" t="n">
        <v>0</v>
      </c>
      <c r="AC247" s="11" t="n">
        <f aca="false">IF(AND(ISNUMBER(AA247),ISNUMBER(D247),D247&gt;0),AA247/D247*100,"")</f>
        <v>2.5</v>
      </c>
      <c r="AD247" s="12" t="n">
        <v>858.8</v>
      </c>
      <c r="AE247" s="8" t="s">
        <v>74</v>
      </c>
      <c r="AF247" s="8" t="s">
        <v>77</v>
      </c>
      <c r="AG247" s="12" t="n">
        <v>346.46</v>
      </c>
      <c r="AH247" s="12" t="n">
        <v>379.03</v>
      </c>
      <c r="AI247" s="12" t="n">
        <v>422.5</v>
      </c>
      <c r="AJ247" s="12" t="n">
        <v>460.9</v>
      </c>
      <c r="AK247" s="8" t="n">
        <v>15</v>
      </c>
      <c r="AL247" s="10" t="n">
        <v>0.25</v>
      </c>
      <c r="AM247" s="8" t="s">
        <v>74</v>
      </c>
      <c r="AN247" s="12" t="n">
        <v>75</v>
      </c>
      <c r="AO247" s="8" t="s">
        <v>74</v>
      </c>
      <c r="AP247" s="8" t="s">
        <v>74</v>
      </c>
      <c r="AQ247" s="10" t="n">
        <v>0.7</v>
      </c>
      <c r="AR247" s="8" t="n">
        <v>3</v>
      </c>
      <c r="AS247" s="8" t="n">
        <v>2</v>
      </c>
      <c r="AT247" s="8" t="n">
        <v>1</v>
      </c>
      <c r="AU247" s="8" t="n">
        <v>0</v>
      </c>
      <c r="AV247" s="8" t="n">
        <v>3</v>
      </c>
      <c r="AW247" s="8" t="n">
        <v>4</v>
      </c>
      <c r="AX247" s="8" t="n">
        <v>2</v>
      </c>
      <c r="AY247" s="8" t="n">
        <v>1</v>
      </c>
      <c r="AZ247" s="8" t="n">
        <v>4</v>
      </c>
      <c r="BA247" s="8" t="n">
        <v>2</v>
      </c>
      <c r="BB247" s="8" t="n">
        <v>1</v>
      </c>
      <c r="BC247" s="8" t="n">
        <v>2</v>
      </c>
      <c r="BD247" s="8" t="n">
        <v>1</v>
      </c>
      <c r="BE247" s="8" t="n">
        <v>3</v>
      </c>
      <c r="BF247" s="8" t="n">
        <v>1</v>
      </c>
      <c r="BG247" s="8" t="n">
        <v>0</v>
      </c>
      <c r="BH247" s="8" t="n">
        <v>3</v>
      </c>
      <c r="BI247" s="8" t="n">
        <v>3</v>
      </c>
      <c r="BJ247" s="9" t="n">
        <v>3</v>
      </c>
      <c r="BK247" s="9"/>
      <c r="BL247" s="9" t="n">
        <v>5</v>
      </c>
      <c r="BM247" s="9" t="n">
        <v>5</v>
      </c>
      <c r="BN247" s="10" t="n">
        <v>0</v>
      </c>
      <c r="BO247" s="10" t="n">
        <v>0.5</v>
      </c>
      <c r="BP247" s="10" t="n">
        <f aca="false">IF(AND(ISNUMBER(BN247),ISNUMBER(BO247)),BN247+BO247,"")</f>
        <v>0.5</v>
      </c>
      <c r="BQ247" s="10" t="n">
        <v>0.3</v>
      </c>
      <c r="BR247" s="10" t="n">
        <v>0.1</v>
      </c>
      <c r="BS247" s="10" t="n">
        <v>0.1</v>
      </c>
    </row>
    <row r="248" customFormat="false" ht="15" hidden="false" customHeight="false" outlineLevel="0" collapsed="false">
      <c r="A248" s="8" t="s">
        <v>83</v>
      </c>
      <c r="B248" s="8" t="s">
        <v>124</v>
      </c>
      <c r="C248" s="8" t="n">
        <v>7</v>
      </c>
      <c r="D248" s="9" t="n">
        <v>1452</v>
      </c>
      <c r="E248" s="9" t="n">
        <v>924</v>
      </c>
      <c r="F248" s="8" t="s">
        <v>76</v>
      </c>
      <c r="G248" s="8" t="s">
        <v>74</v>
      </c>
      <c r="H248" s="10" t="n">
        <v>0.8</v>
      </c>
      <c r="I248" s="10" t="n">
        <v>0.016</v>
      </c>
      <c r="J248" s="10" t="n">
        <v>0.013</v>
      </c>
      <c r="K248" s="8" t="n">
        <v>0</v>
      </c>
      <c r="L248" s="8" t="n">
        <v>30</v>
      </c>
      <c r="M248" s="10" t="n">
        <v>0.002</v>
      </c>
      <c r="N248" s="8" t="n">
        <v>0</v>
      </c>
      <c r="O248" s="9" t="n">
        <v>74</v>
      </c>
      <c r="P248" s="10" t="n">
        <f aca="false">IF(AND(ISNUMBER(O248),ISNUMBER(D248),D248&gt;0),O248/D248,"")</f>
        <v>0.0509641873278237</v>
      </c>
      <c r="Q248" s="9" t="n">
        <v>88</v>
      </c>
      <c r="R248" s="9" t="n">
        <v>88</v>
      </c>
      <c r="S248" s="9" t="n">
        <v>510</v>
      </c>
      <c r="T248" s="11" t="n">
        <f aca="false">IF(AND(ISNUMBER(S248),ISNUMBER(D248),D248&gt;0),S248/D248,"")</f>
        <v>0.351239669421488</v>
      </c>
      <c r="U248" s="10" t="n">
        <v>0.07</v>
      </c>
      <c r="V248" s="10" t="n">
        <v>0.06</v>
      </c>
      <c r="W248" s="10" t="n">
        <v>0.11</v>
      </c>
      <c r="X248" s="10" t="n">
        <v>0.03</v>
      </c>
      <c r="Y248" s="8" t="n">
        <v>0</v>
      </c>
      <c r="Z248" s="8" t="s">
        <v>74</v>
      </c>
      <c r="AA248" s="8" t="n">
        <v>15</v>
      </c>
      <c r="AB248" s="8" t="n">
        <v>0</v>
      </c>
      <c r="AC248" s="11" t="n">
        <f aca="false">IF(AND(ISNUMBER(AA248),ISNUMBER(D248),D248&gt;0),AA248/D248*100,"")</f>
        <v>1.03305785123967</v>
      </c>
      <c r="AD248" s="12" t="n">
        <v>2000</v>
      </c>
      <c r="AE248" s="8" t="s">
        <v>74</v>
      </c>
      <c r="AF248" s="8" t="s">
        <v>74</v>
      </c>
      <c r="AG248" s="12" t="n">
        <v>370.76</v>
      </c>
      <c r="AH248" s="12" t="n">
        <v>438.81</v>
      </c>
      <c r="AI248" s="12" t="n">
        <v>570.2</v>
      </c>
      <c r="AJ248" s="12" t="n">
        <v>753.28</v>
      </c>
      <c r="AK248" s="8" t="n">
        <v>32</v>
      </c>
      <c r="AL248" s="10" t="n">
        <v>0.85</v>
      </c>
      <c r="AM248" s="8" t="s">
        <v>74</v>
      </c>
      <c r="AN248" s="12" t="n">
        <v>13</v>
      </c>
      <c r="AO248" s="8" t="s">
        <v>77</v>
      </c>
      <c r="AP248" s="8" t="s">
        <v>74</v>
      </c>
      <c r="AQ248" s="10" t="n">
        <v>0.64</v>
      </c>
      <c r="AR248" s="8" t="n">
        <v>3</v>
      </c>
      <c r="AS248" s="8" t="n">
        <v>2</v>
      </c>
      <c r="AT248" s="8" t="n">
        <v>1</v>
      </c>
      <c r="AU248" s="8" t="n">
        <v>1</v>
      </c>
      <c r="AV248" s="8" t="n">
        <v>3</v>
      </c>
      <c r="AW248" s="8" t="n">
        <v>1</v>
      </c>
      <c r="AX248" s="8" t="n">
        <v>1</v>
      </c>
      <c r="AY248" s="8" t="n">
        <v>1</v>
      </c>
      <c r="AZ248" s="8" t="n">
        <v>2</v>
      </c>
      <c r="BA248" s="8"/>
      <c r="BB248" s="8" t="n">
        <v>1</v>
      </c>
      <c r="BC248" s="8" t="n">
        <v>1</v>
      </c>
      <c r="BD248" s="8" t="n">
        <v>1</v>
      </c>
      <c r="BE248" s="8" t="n">
        <v>0</v>
      </c>
      <c r="BF248" s="8" t="n">
        <v>2</v>
      </c>
      <c r="BG248" s="8" t="n">
        <v>1</v>
      </c>
      <c r="BH248" s="8" t="n">
        <v>2</v>
      </c>
      <c r="BI248" s="8" t="n">
        <v>3</v>
      </c>
      <c r="BJ248" s="9" t="n">
        <v>52</v>
      </c>
      <c r="BK248" s="9" t="n">
        <v>14</v>
      </c>
      <c r="BL248" s="9" t="n">
        <v>9</v>
      </c>
      <c r="BM248" s="9" t="n">
        <v>7</v>
      </c>
      <c r="BN248" s="10" t="n">
        <v>0</v>
      </c>
      <c r="BO248" s="10" t="n">
        <v>0</v>
      </c>
      <c r="BP248" s="10" t="n">
        <f aca="false">IF(AND(ISNUMBER(BN248),ISNUMBER(BO248)),BN248+BO248,"")</f>
        <v>0</v>
      </c>
      <c r="BQ248" s="10" t="n">
        <v>0.1</v>
      </c>
      <c r="BR248" s="10" t="n">
        <v>0.7</v>
      </c>
      <c r="BS248" s="10" t="n">
        <v>0.2</v>
      </c>
    </row>
    <row r="249" customFormat="false" ht="15" hidden="false" customHeight="false" outlineLevel="0" collapsed="false">
      <c r="A249" s="8" t="s">
        <v>84</v>
      </c>
      <c r="B249" s="8" t="s">
        <v>124</v>
      </c>
      <c r="C249" s="8" t="n">
        <v>7</v>
      </c>
      <c r="D249" s="9" t="n">
        <v>228</v>
      </c>
      <c r="E249" s="9" t="n">
        <v>525</v>
      </c>
      <c r="F249" s="8" t="s">
        <v>76</v>
      </c>
      <c r="G249" s="8" t="s">
        <v>74</v>
      </c>
      <c r="H249" s="10" t="n">
        <v>0.7</v>
      </c>
      <c r="I249" s="10" t="n">
        <v>0.111</v>
      </c>
      <c r="J249" s="10" t="n">
        <v>0.019</v>
      </c>
      <c r="K249" s="8" t="n">
        <v>0</v>
      </c>
      <c r="L249" s="8" t="n">
        <v>45</v>
      </c>
      <c r="M249" s="10" t="n">
        <v>0.001</v>
      </c>
      <c r="N249" s="8" t="n">
        <v>0</v>
      </c>
      <c r="O249" s="9" t="n">
        <v>18</v>
      </c>
      <c r="P249" s="10" t="n">
        <f aca="false">IF(AND(ISNUMBER(O249),ISNUMBER(D249),D249&gt;0),O249/D249,"")</f>
        <v>0.0789473684210526</v>
      </c>
      <c r="Q249" s="9"/>
      <c r="R249" s="9" t="n">
        <v>8</v>
      </c>
      <c r="S249" s="9" t="n">
        <v>67</v>
      </c>
      <c r="T249" s="11" t="n">
        <f aca="false">IF(AND(ISNUMBER(S249),ISNUMBER(D249),D249&gt;0),S249/D249,"")</f>
        <v>0.293859649122807</v>
      </c>
      <c r="U249" s="10" t="n">
        <v>0.063</v>
      </c>
      <c r="V249" s="10" t="n">
        <v>0.095</v>
      </c>
      <c r="W249" s="10" t="n">
        <v>0.085</v>
      </c>
      <c r="X249" s="10" t="n">
        <v>0.04</v>
      </c>
      <c r="Y249" s="8" t="n">
        <v>0</v>
      </c>
      <c r="Z249" s="8" t="s">
        <v>74</v>
      </c>
      <c r="AA249" s="8" t="n">
        <v>20</v>
      </c>
      <c r="AB249" s="8" t="n">
        <v>0</v>
      </c>
      <c r="AC249" s="11" t="n">
        <f aca="false">IF(AND(ISNUMBER(AA249),ISNUMBER(D249),D249&gt;0),AA249/D249*100,"")</f>
        <v>8.7719298245614</v>
      </c>
      <c r="AD249" s="12" t="n">
        <v>1500</v>
      </c>
      <c r="AE249" s="8" t="s">
        <v>74</v>
      </c>
      <c r="AF249" s="8" t="s">
        <v>77</v>
      </c>
      <c r="AG249" s="12" t="n">
        <v>283</v>
      </c>
      <c r="AH249" s="12" t="n">
        <v>326</v>
      </c>
      <c r="AI249" s="12" t="n">
        <v>356</v>
      </c>
      <c r="AJ249" s="12" t="n">
        <v>388</v>
      </c>
      <c r="AK249" s="8" t="n">
        <v>18</v>
      </c>
      <c r="AL249" s="10" t="n">
        <v>0.25</v>
      </c>
      <c r="AM249" s="8" t="s">
        <v>74</v>
      </c>
      <c r="AN249" s="12" t="n">
        <v>70</v>
      </c>
      <c r="AO249" s="8" t="s">
        <v>74</v>
      </c>
      <c r="AP249" s="8"/>
      <c r="AQ249" s="10" t="n">
        <v>0.95</v>
      </c>
      <c r="AR249" s="8" t="n">
        <v>4</v>
      </c>
      <c r="AS249" s="8" t="n">
        <v>1</v>
      </c>
      <c r="AT249" s="8" t="n">
        <v>1</v>
      </c>
      <c r="AU249" s="8" t="n">
        <v>1</v>
      </c>
      <c r="AV249" s="8" t="n">
        <v>1</v>
      </c>
      <c r="AW249" s="8" t="n">
        <v>4</v>
      </c>
      <c r="AX249" s="8" t="n">
        <v>2</v>
      </c>
      <c r="AY249" s="8" t="n">
        <v>1</v>
      </c>
      <c r="AZ249" s="8" t="n">
        <v>3</v>
      </c>
      <c r="BA249" s="8" t="n">
        <v>4</v>
      </c>
      <c r="BB249" s="8" t="n">
        <v>4</v>
      </c>
      <c r="BC249" s="8" t="n">
        <v>5</v>
      </c>
      <c r="BD249" s="8" t="n">
        <v>1</v>
      </c>
      <c r="BE249" s="8" t="n">
        <v>3</v>
      </c>
      <c r="BF249" s="8" t="n">
        <v>3</v>
      </c>
      <c r="BG249" s="8" t="n">
        <v>1</v>
      </c>
      <c r="BH249" s="8" t="n">
        <v>4</v>
      </c>
      <c r="BI249" s="8" t="n">
        <v>5</v>
      </c>
      <c r="BJ249" s="9" t="n">
        <v>1</v>
      </c>
      <c r="BK249" s="9" t="n">
        <v>14</v>
      </c>
      <c r="BL249" s="9" t="n">
        <v>0</v>
      </c>
      <c r="BM249" s="9" t="n">
        <v>3</v>
      </c>
      <c r="BN249" s="10" t="n">
        <v>0.3</v>
      </c>
      <c r="BO249" s="10" t="n">
        <v>0</v>
      </c>
      <c r="BP249" s="10" t="n">
        <f aca="false">IF(AND(ISNUMBER(BN249),ISNUMBER(BO249)),BN249+BO249,"")</f>
        <v>0.3</v>
      </c>
      <c r="BQ249" s="10" t="n">
        <v>0</v>
      </c>
      <c r="BR249" s="10" t="n">
        <v>0.6</v>
      </c>
      <c r="BS249" s="10" t="n">
        <v>0.1</v>
      </c>
    </row>
    <row r="250" customFormat="false" ht="15" hidden="false" customHeight="false" outlineLevel="0" collapsed="false">
      <c r="A250" s="8" t="s">
        <v>85</v>
      </c>
      <c r="B250" s="8" t="s">
        <v>124</v>
      </c>
      <c r="C250" s="8" t="n">
        <v>7</v>
      </c>
      <c r="D250" s="9" t="n">
        <v>198</v>
      </c>
      <c r="E250" s="9" t="n">
        <v>95</v>
      </c>
      <c r="F250" s="8" t="s">
        <v>81</v>
      </c>
      <c r="G250" s="8" t="s">
        <v>74</v>
      </c>
      <c r="H250" s="10"/>
      <c r="I250" s="10" t="n">
        <v>0.032</v>
      </c>
      <c r="J250" s="10" t="n">
        <v>0.004</v>
      </c>
      <c r="K250" s="8" t="n">
        <v>0</v>
      </c>
      <c r="L250" s="8" t="n">
        <v>5</v>
      </c>
      <c r="M250" s="10" t="n">
        <v>0.02</v>
      </c>
      <c r="N250" s="8" t="n">
        <v>0</v>
      </c>
      <c r="O250" s="9" t="n">
        <v>10</v>
      </c>
      <c r="P250" s="10" t="n">
        <f aca="false">IF(AND(ISNUMBER(O250),ISNUMBER(D250),D250&gt;0),O250/D250,"")</f>
        <v>0.0505050505050505</v>
      </c>
      <c r="Q250" s="9" t="n">
        <v>6</v>
      </c>
      <c r="R250" s="9" t="n">
        <v>6</v>
      </c>
      <c r="S250" s="9" t="n">
        <v>14</v>
      </c>
      <c r="T250" s="11" t="n">
        <f aca="false">IF(AND(ISNUMBER(S250),ISNUMBER(D250),D250&gt;0),S250/D250,"")</f>
        <v>0.0707070707070707</v>
      </c>
      <c r="U250" s="10" t="n">
        <v>0.065</v>
      </c>
      <c r="V250" s="10" t="n">
        <v>0.1</v>
      </c>
      <c r="W250" s="10"/>
      <c r="X250" s="10" t="n">
        <v>0.075</v>
      </c>
      <c r="Y250" s="8" t="n">
        <v>0</v>
      </c>
      <c r="Z250" s="8" t="s">
        <v>74</v>
      </c>
      <c r="AA250" s="8" t="n">
        <v>6</v>
      </c>
      <c r="AB250" s="8" t="n">
        <v>0</v>
      </c>
      <c r="AC250" s="11" t="n">
        <f aca="false">IF(AND(ISNUMBER(AA250),ISNUMBER(D250),D250&gt;0),AA250/D250*100,"")</f>
        <v>3.03030303030303</v>
      </c>
      <c r="AD250" s="12" t="n">
        <v>2528</v>
      </c>
      <c r="AE250" s="8" t="s">
        <v>74</v>
      </c>
      <c r="AF250" s="8" t="s">
        <v>74</v>
      </c>
      <c r="AG250" s="12" t="n">
        <v>390</v>
      </c>
      <c r="AH250" s="12" t="n">
        <v>489</v>
      </c>
      <c r="AI250" s="12" t="n">
        <v>540</v>
      </c>
      <c r="AJ250" s="12" t="n">
        <v>842</v>
      </c>
      <c r="AK250" s="8" t="n">
        <v>33</v>
      </c>
      <c r="AL250" s="10" t="n">
        <v>1</v>
      </c>
      <c r="AM250" s="8" t="s">
        <v>74</v>
      </c>
      <c r="AN250" s="12" t="n">
        <v>21</v>
      </c>
      <c r="AO250" s="8" t="s">
        <v>77</v>
      </c>
      <c r="AP250" s="8" t="s">
        <v>74</v>
      </c>
      <c r="AQ250" s="10" t="n">
        <v>0.7</v>
      </c>
      <c r="AR250" s="8" t="n">
        <v>4</v>
      </c>
      <c r="AS250" s="8" t="n">
        <v>1</v>
      </c>
      <c r="AT250" s="8" t="n">
        <v>1</v>
      </c>
      <c r="AU250" s="8" t="n">
        <v>1</v>
      </c>
      <c r="AV250" s="8" t="n">
        <v>1</v>
      </c>
      <c r="AW250" s="8" t="n">
        <v>0</v>
      </c>
      <c r="AX250" s="8" t="n">
        <v>1</v>
      </c>
      <c r="AY250" s="8" t="n">
        <v>0</v>
      </c>
      <c r="AZ250" s="8" t="n">
        <v>0</v>
      </c>
      <c r="BA250" s="8" t="n">
        <v>4</v>
      </c>
      <c r="BB250" s="8" t="n">
        <v>5</v>
      </c>
      <c r="BC250" s="8" t="n">
        <v>4</v>
      </c>
      <c r="BD250" s="8" t="n">
        <v>1</v>
      </c>
      <c r="BE250" s="8" t="n">
        <v>0</v>
      </c>
      <c r="BF250" s="8" t="n">
        <v>1</v>
      </c>
      <c r="BG250" s="8" t="n">
        <v>0</v>
      </c>
      <c r="BH250" s="8" t="n">
        <v>0</v>
      </c>
      <c r="BI250" s="8" t="n">
        <v>1</v>
      </c>
      <c r="BJ250" s="9" t="n">
        <v>3</v>
      </c>
      <c r="BK250" s="9" t="n">
        <v>4</v>
      </c>
      <c r="BL250" s="9" t="n">
        <v>0</v>
      </c>
      <c r="BM250" s="9" t="n">
        <v>2</v>
      </c>
      <c r="BN250" s="10" t="n">
        <v>0.4</v>
      </c>
      <c r="BO250" s="10" t="n">
        <v>0.2</v>
      </c>
      <c r="BP250" s="10" t="n">
        <f aca="false">IF(AND(ISNUMBER(BN250),ISNUMBER(BO250)),BN250+BO250,"")</f>
        <v>0.6</v>
      </c>
      <c r="BQ250" s="10" t="n">
        <v>0</v>
      </c>
      <c r="BR250" s="10" t="n">
        <v>0.1</v>
      </c>
      <c r="BS250" s="10" t="n">
        <v>0.3</v>
      </c>
    </row>
    <row r="251" customFormat="false" ht="15" hidden="false" customHeight="false" outlineLevel="0" collapsed="false">
      <c r="A251" s="8" t="s">
        <v>86</v>
      </c>
      <c r="B251" s="8" t="s">
        <v>124</v>
      </c>
      <c r="C251" s="8" t="n">
        <v>7</v>
      </c>
      <c r="D251" s="9" t="n">
        <v>269</v>
      </c>
      <c r="E251" s="9" t="n">
        <v>67</v>
      </c>
      <c r="F251" s="8" t="s">
        <v>76</v>
      </c>
      <c r="G251" s="8" t="s">
        <v>77</v>
      </c>
      <c r="H251" s="10"/>
      <c r="I251" s="10" t="n">
        <v>0.023</v>
      </c>
      <c r="J251" s="10" t="n">
        <v>0.021</v>
      </c>
      <c r="K251" s="8" t="n">
        <v>0</v>
      </c>
      <c r="L251" s="8" t="n">
        <v>15</v>
      </c>
      <c r="M251" s="10" t="n">
        <v>0.021</v>
      </c>
      <c r="N251" s="8" t="n">
        <v>0</v>
      </c>
      <c r="O251" s="9" t="n">
        <v>2</v>
      </c>
      <c r="P251" s="10" t="n">
        <f aca="false">IF(AND(ISNUMBER(O251),ISNUMBER(D251),D251&gt;0),O251/D251,"")</f>
        <v>0.00743494423791822</v>
      </c>
      <c r="Q251" s="9" t="n">
        <v>59</v>
      </c>
      <c r="R251" s="9" t="n">
        <v>59</v>
      </c>
      <c r="S251" s="9" t="n">
        <v>200</v>
      </c>
      <c r="T251" s="11" t="n">
        <f aca="false">IF(AND(ISNUMBER(S251),ISNUMBER(D251),D251&gt;0),S251/D251,"")</f>
        <v>0.743494423791822</v>
      </c>
      <c r="U251" s="10" t="n">
        <v>0.05</v>
      </c>
      <c r="V251" s="10"/>
      <c r="W251" s="10"/>
      <c r="X251" s="10" t="n">
        <v>0.1</v>
      </c>
      <c r="Y251" s="8" t="n">
        <v>0</v>
      </c>
      <c r="Z251" s="8" t="s">
        <v>74</v>
      </c>
      <c r="AA251" s="8" t="n">
        <v>5</v>
      </c>
      <c r="AB251" s="8" t="n">
        <v>0</v>
      </c>
      <c r="AC251" s="11" t="n">
        <f aca="false">IF(AND(ISNUMBER(AA251),ISNUMBER(D251),D251&gt;0),AA251/D251*100,"")</f>
        <v>1.85873605947955</v>
      </c>
      <c r="AD251" s="12" t="n">
        <v>270</v>
      </c>
      <c r="AE251" s="8" t="s">
        <v>77</v>
      </c>
      <c r="AF251" s="8" t="s">
        <v>77</v>
      </c>
      <c r="AG251" s="12" t="n">
        <v>288</v>
      </c>
      <c r="AH251" s="12" t="n">
        <v>288</v>
      </c>
      <c r="AI251" s="12" t="n">
        <v>320</v>
      </c>
      <c r="AJ251" s="12" t="n">
        <v>336</v>
      </c>
      <c r="AK251" s="8" t="n">
        <v>20</v>
      </c>
      <c r="AL251" s="10" t="n">
        <v>0.25</v>
      </c>
      <c r="AM251" s="8" t="s">
        <v>74</v>
      </c>
      <c r="AN251" s="12" t="n">
        <v>33</v>
      </c>
      <c r="AO251" s="8" t="s">
        <v>77</v>
      </c>
      <c r="AP251" s="8" t="s">
        <v>77</v>
      </c>
      <c r="AQ251" s="10" t="n">
        <v>0.9</v>
      </c>
      <c r="AR251" s="8" t="n">
        <v>5</v>
      </c>
      <c r="AS251" s="8" t="n">
        <v>1</v>
      </c>
      <c r="AT251" s="8" t="n">
        <v>1</v>
      </c>
      <c r="AU251" s="8" t="n">
        <v>1</v>
      </c>
      <c r="AV251" s="8" t="n">
        <v>1</v>
      </c>
      <c r="AW251" s="8" t="n">
        <v>1</v>
      </c>
      <c r="AX251" s="8" t="n">
        <v>1</v>
      </c>
      <c r="AY251" s="8" t="n">
        <v>1</v>
      </c>
      <c r="AZ251" s="8" t="n">
        <v>4</v>
      </c>
      <c r="BA251" s="8" t="n">
        <v>5</v>
      </c>
      <c r="BB251" s="8" t="n">
        <v>1</v>
      </c>
      <c r="BC251" s="8" t="n">
        <v>3</v>
      </c>
      <c r="BD251" s="8" t="n">
        <v>1</v>
      </c>
      <c r="BE251" s="8" t="n">
        <v>1</v>
      </c>
      <c r="BF251" s="8" t="n">
        <v>0</v>
      </c>
      <c r="BG251" s="8" t="n">
        <v>0</v>
      </c>
      <c r="BH251" s="8" t="n">
        <v>0</v>
      </c>
      <c r="BI251" s="8" t="n">
        <v>3</v>
      </c>
      <c r="BJ251" s="9" t="n">
        <v>24</v>
      </c>
      <c r="BK251" s="9" t="n">
        <v>28</v>
      </c>
      <c r="BL251" s="9" t="n">
        <v>0</v>
      </c>
      <c r="BM251" s="9" t="n">
        <v>8</v>
      </c>
      <c r="BN251" s="10" t="n">
        <v>0</v>
      </c>
      <c r="BO251" s="10" t="n">
        <v>1</v>
      </c>
      <c r="BP251" s="10" t="n">
        <f aca="false">IF(AND(ISNUMBER(BN251),ISNUMBER(BO251)),BN251+BO251,"")</f>
        <v>1</v>
      </c>
      <c r="BQ251" s="10" t="n">
        <v>0</v>
      </c>
      <c r="BR251" s="10" t="n">
        <v>0</v>
      </c>
      <c r="BS251" s="10" t="n">
        <v>0</v>
      </c>
    </row>
    <row r="252" customFormat="false" ht="15" hidden="false" customHeight="false" outlineLevel="0" collapsed="false">
      <c r="A252" s="8" t="s">
        <v>87</v>
      </c>
      <c r="B252" s="8" t="s">
        <v>124</v>
      </c>
      <c r="C252" s="8" t="n">
        <v>7</v>
      </c>
      <c r="D252" s="9" t="n">
        <v>196</v>
      </c>
      <c r="E252" s="9" t="n">
        <v>87</v>
      </c>
      <c r="F252" s="8" t="s">
        <v>76</v>
      </c>
      <c r="G252" s="8" t="s">
        <v>74</v>
      </c>
      <c r="H252" s="10" t="n">
        <v>0.3</v>
      </c>
      <c r="I252" s="10" t="n">
        <v>0.05</v>
      </c>
      <c r="J252" s="10" t="n">
        <v>0.017</v>
      </c>
      <c r="K252" s="8" t="n">
        <v>0</v>
      </c>
      <c r="L252" s="8" t="n">
        <v>20</v>
      </c>
      <c r="M252" s="10" t="n">
        <v>0.03</v>
      </c>
      <c r="N252" s="8" t="n">
        <v>0</v>
      </c>
      <c r="O252" s="9" t="n">
        <v>25</v>
      </c>
      <c r="P252" s="10" t="n">
        <f aca="false">IF(AND(ISNUMBER(O252),ISNUMBER(D252),D252&gt;0),O252/D252,"")</f>
        <v>0.127551020408163</v>
      </c>
      <c r="Q252" s="9" t="n">
        <v>22</v>
      </c>
      <c r="R252" s="9" t="n">
        <v>12</v>
      </c>
      <c r="S252" s="9" t="n">
        <v>8</v>
      </c>
      <c r="T252" s="11" t="n">
        <f aca="false">IF(AND(ISNUMBER(S252),ISNUMBER(D252),D252&gt;0),S252/D252,"")</f>
        <v>0.0408163265306122</v>
      </c>
      <c r="U252" s="10" t="n">
        <v>0.05</v>
      </c>
      <c r="V252" s="10"/>
      <c r="W252" s="10"/>
      <c r="X252" s="10" t="n">
        <v>0.1</v>
      </c>
      <c r="Y252" s="8" t="n">
        <v>0</v>
      </c>
      <c r="Z252" s="8" t="s">
        <v>74</v>
      </c>
      <c r="AA252" s="8" t="n">
        <v>30</v>
      </c>
      <c r="AB252" s="8" t="n">
        <v>0</v>
      </c>
      <c r="AC252" s="11" t="n">
        <f aca="false">IF(AND(ISNUMBER(AA252),ISNUMBER(D252),D252&gt;0),AA252/D252*100,"")</f>
        <v>15.3061224489796</v>
      </c>
      <c r="AD252" s="12" t="n">
        <v>95</v>
      </c>
      <c r="AE252" s="8" t="s">
        <v>74</v>
      </c>
      <c r="AF252" s="8" t="s">
        <v>74</v>
      </c>
      <c r="AG252" s="12" t="n">
        <v>278.8</v>
      </c>
      <c r="AH252" s="12" t="n">
        <v>348</v>
      </c>
      <c r="AI252" s="12" t="n">
        <v>441.72</v>
      </c>
      <c r="AJ252" s="12" t="n">
        <v>441.72</v>
      </c>
      <c r="AK252" s="8" t="n">
        <v>15</v>
      </c>
      <c r="AL252" s="10" t="n">
        <v>0.25</v>
      </c>
      <c r="AM252" s="8" t="s">
        <v>77</v>
      </c>
      <c r="AN252" s="12"/>
      <c r="AO252" s="8" t="s">
        <v>77</v>
      </c>
      <c r="AP252" s="8" t="s">
        <v>74</v>
      </c>
      <c r="AQ252" s="10" t="n">
        <v>0.85</v>
      </c>
      <c r="AR252" s="8" t="n">
        <v>4</v>
      </c>
      <c r="AS252" s="8" t="n">
        <v>3</v>
      </c>
      <c r="AT252" s="8" t="n">
        <v>1</v>
      </c>
      <c r="AU252" s="8" t="n">
        <v>2</v>
      </c>
      <c r="AV252" s="8" t="n">
        <v>2</v>
      </c>
      <c r="AW252" s="8" t="n">
        <v>0</v>
      </c>
      <c r="AX252" s="8" t="n">
        <v>1</v>
      </c>
      <c r="AY252" s="8" t="n">
        <v>2</v>
      </c>
      <c r="AZ252" s="8" t="n">
        <v>2</v>
      </c>
      <c r="BA252" s="8" t="n">
        <v>2</v>
      </c>
      <c r="BB252" s="8" t="n">
        <v>2</v>
      </c>
      <c r="BC252" s="8" t="n">
        <v>3</v>
      </c>
      <c r="BD252" s="8" t="n">
        <v>0</v>
      </c>
      <c r="BE252" s="8" t="n">
        <v>0</v>
      </c>
      <c r="BF252" s="8" t="n">
        <v>3</v>
      </c>
      <c r="BG252" s="8" t="n">
        <v>0</v>
      </c>
      <c r="BH252" s="8" t="n">
        <v>1</v>
      </c>
      <c r="BI252" s="8" t="n">
        <v>4</v>
      </c>
      <c r="BJ252" s="9" t="n">
        <v>13</v>
      </c>
      <c r="BK252" s="9" t="n">
        <v>8</v>
      </c>
      <c r="BL252" s="9" t="n">
        <v>6</v>
      </c>
      <c r="BM252" s="9" t="n">
        <v>1</v>
      </c>
      <c r="BN252" s="10" t="n">
        <v>0</v>
      </c>
      <c r="BO252" s="10" t="n">
        <v>0.6</v>
      </c>
      <c r="BP252" s="10" t="n">
        <f aca="false">IF(AND(ISNUMBER(BN252),ISNUMBER(BO252)),BN252+BO252,"")</f>
        <v>0.6</v>
      </c>
      <c r="BQ252" s="10" t="n">
        <v>0.3</v>
      </c>
      <c r="BR252" s="10" t="n">
        <v>0</v>
      </c>
      <c r="BS252" s="10" t="n">
        <v>0.1</v>
      </c>
    </row>
    <row r="253" customFormat="false" ht="15" hidden="false" customHeight="false" outlineLevel="0" collapsed="false">
      <c r="A253" s="8" t="s">
        <v>88</v>
      </c>
      <c r="B253" s="8" t="s">
        <v>124</v>
      </c>
      <c r="C253" s="8" t="n">
        <v>7</v>
      </c>
      <c r="D253" s="9" t="n">
        <v>54</v>
      </c>
      <c r="E253" s="9" t="n">
        <v>41</v>
      </c>
      <c r="F253" s="8" t="s">
        <v>76</v>
      </c>
      <c r="G253" s="8" t="s">
        <v>77</v>
      </c>
      <c r="H253" s="10" t="n">
        <v>0.1</v>
      </c>
      <c r="I253" s="10" t="n">
        <v>0.04</v>
      </c>
      <c r="J253" s="10" t="n">
        <v>0.005</v>
      </c>
      <c r="K253" s="8" t="n">
        <v>0</v>
      </c>
      <c r="L253" s="8" t="n">
        <v>3</v>
      </c>
      <c r="M253" s="10" t="n">
        <v>0.001</v>
      </c>
      <c r="N253" s="8" t="n">
        <v>0</v>
      </c>
      <c r="O253" s="9" t="n">
        <v>6</v>
      </c>
      <c r="P253" s="10" t="n">
        <f aca="false">IF(AND(ISNUMBER(O253),ISNUMBER(D253),D253&gt;0),O253/D253,"")</f>
        <v>0.111111111111111</v>
      </c>
      <c r="Q253" s="9" t="n">
        <v>4</v>
      </c>
      <c r="R253" s="9" t="n">
        <v>4</v>
      </c>
      <c r="S253" s="9" t="n">
        <v>87</v>
      </c>
      <c r="T253" s="11" t="n">
        <f aca="false">IF(AND(ISNUMBER(S253),ISNUMBER(D253),D253&gt;0),S253/D253,"")</f>
        <v>1.61111111111111</v>
      </c>
      <c r="U253" s="10" t="n">
        <v>0.15</v>
      </c>
      <c r="V253" s="10" t="n">
        <v>0.1</v>
      </c>
      <c r="W253" s="10" t="n">
        <v>0.1</v>
      </c>
      <c r="X253" s="10" t="n">
        <v>0.1</v>
      </c>
      <c r="Y253" s="8" t="n">
        <v>0</v>
      </c>
      <c r="Z253" s="8" t="s">
        <v>77</v>
      </c>
      <c r="AA253" s="8" t="n">
        <v>0</v>
      </c>
      <c r="AB253" s="8" t="n">
        <v>0</v>
      </c>
      <c r="AC253" s="11" t="n">
        <f aca="false">IF(AND(ISNUMBER(AA253),ISNUMBER(D253),D253&gt;0),AA253/D253*100,"")</f>
        <v>0</v>
      </c>
      <c r="AD253" s="12"/>
      <c r="AE253" s="8" t="s">
        <v>74</v>
      </c>
      <c r="AF253" s="8" t="s">
        <v>74</v>
      </c>
      <c r="AG253" s="12" t="n">
        <v>300</v>
      </c>
      <c r="AH253" s="12" t="n">
        <v>336</v>
      </c>
      <c r="AI253" s="12" t="n">
        <v>357</v>
      </c>
      <c r="AJ253" s="12" t="n">
        <v>386</v>
      </c>
      <c r="AK253" s="8" t="n">
        <v>15</v>
      </c>
      <c r="AL253" s="10" t="n">
        <v>0.25</v>
      </c>
      <c r="AM253" s="8" t="s">
        <v>77</v>
      </c>
      <c r="AN253" s="12"/>
      <c r="AO253" s="8" t="s">
        <v>77</v>
      </c>
      <c r="AP253" s="8"/>
      <c r="AQ253" s="10"/>
      <c r="AR253" s="8" t="n">
        <v>4</v>
      </c>
      <c r="AS253" s="8" t="n">
        <v>3</v>
      </c>
      <c r="AT253" s="8" t="n">
        <v>3</v>
      </c>
      <c r="AU253" s="8" t="n">
        <v>4</v>
      </c>
      <c r="AV253" s="8" t="n">
        <v>2</v>
      </c>
      <c r="AW253" s="8" t="n">
        <v>0</v>
      </c>
      <c r="AX253" s="8" t="n">
        <v>0</v>
      </c>
      <c r="AY253" s="8" t="n">
        <v>3</v>
      </c>
      <c r="AZ253" s="8" t="n">
        <v>3</v>
      </c>
      <c r="BA253" s="8" t="n">
        <v>3</v>
      </c>
      <c r="BB253" s="8" t="n">
        <v>2</v>
      </c>
      <c r="BC253" s="8" t="n">
        <v>2</v>
      </c>
      <c r="BD253" s="8" t="n">
        <v>0</v>
      </c>
      <c r="BE253" s="8" t="n">
        <v>2</v>
      </c>
      <c r="BF253" s="8" t="n">
        <v>0</v>
      </c>
      <c r="BG253" s="8" t="n">
        <v>0</v>
      </c>
      <c r="BH253" s="8" t="n">
        <v>0</v>
      </c>
      <c r="BI253" s="8" t="n">
        <v>2</v>
      </c>
      <c r="BJ253" s="9" t="n">
        <v>6</v>
      </c>
      <c r="BK253" s="9"/>
      <c r="BL253" s="9"/>
      <c r="BM253" s="9"/>
      <c r="BN253" s="10" t="n">
        <v>0</v>
      </c>
      <c r="BO253" s="10" t="n">
        <v>0</v>
      </c>
      <c r="BP253" s="10" t="n">
        <f aca="false">IF(AND(ISNUMBER(BN253),ISNUMBER(BO253)),BN253+BO253,"")</f>
        <v>0</v>
      </c>
      <c r="BQ253" s="10" t="n">
        <v>0.9</v>
      </c>
      <c r="BR253" s="10" t="n">
        <v>0.1</v>
      </c>
      <c r="BS253" s="10" t="n">
        <v>0</v>
      </c>
    </row>
    <row r="254" customFormat="false" ht="15" hidden="false" customHeight="false" outlineLevel="0" collapsed="false">
      <c r="A254" s="8" t="s">
        <v>89</v>
      </c>
      <c r="B254" s="8" t="s">
        <v>124</v>
      </c>
      <c r="C254" s="8" t="n">
        <v>7</v>
      </c>
      <c r="D254" s="9" t="n">
        <v>619</v>
      </c>
      <c r="E254" s="9" t="n">
        <v>174</v>
      </c>
      <c r="F254" s="8" t="s">
        <v>81</v>
      </c>
      <c r="G254" s="8" t="s">
        <v>74</v>
      </c>
      <c r="H254" s="10" t="n">
        <v>0.5</v>
      </c>
      <c r="I254" s="10" t="n">
        <v>0.02</v>
      </c>
      <c r="J254" s="10" t="n">
        <v>0.01</v>
      </c>
      <c r="K254" s="8" t="n">
        <v>0</v>
      </c>
      <c r="L254" s="8" t="n">
        <v>20</v>
      </c>
      <c r="M254" s="10" t="n">
        <v>0.008</v>
      </c>
      <c r="N254" s="8" t="n">
        <v>0</v>
      </c>
      <c r="O254" s="9" t="n">
        <v>55</v>
      </c>
      <c r="P254" s="10" t="n">
        <f aca="false">IF(AND(ISNUMBER(O254),ISNUMBER(D254),D254&gt;0),O254/D254,"")</f>
        <v>0.0888529886914378</v>
      </c>
      <c r="Q254" s="9" t="n">
        <v>61</v>
      </c>
      <c r="R254" s="9" t="n">
        <v>41</v>
      </c>
      <c r="S254" s="9" t="n">
        <v>330</v>
      </c>
      <c r="T254" s="11" t="n">
        <f aca="false">IF(AND(ISNUMBER(S254),ISNUMBER(D254),D254&gt;0),S254/D254,"")</f>
        <v>0.533117932148627</v>
      </c>
      <c r="U254" s="10" t="n">
        <v>0.042</v>
      </c>
      <c r="V254" s="10" t="n">
        <v>0.105</v>
      </c>
      <c r="W254" s="10" t="n">
        <v>0.06</v>
      </c>
      <c r="X254" s="10" t="n">
        <v>0.1</v>
      </c>
      <c r="Y254" s="8" t="n">
        <v>0</v>
      </c>
      <c r="Z254" s="8" t="s">
        <v>74</v>
      </c>
      <c r="AA254" s="8" t="n">
        <v>12</v>
      </c>
      <c r="AB254" s="8" t="n">
        <v>0</v>
      </c>
      <c r="AC254" s="11" t="n">
        <f aca="false">IF(AND(ISNUMBER(AA254),ISNUMBER(D254),D254&gt;0),AA254/D254*100,"")</f>
        <v>1.93861066235864</v>
      </c>
      <c r="AD254" s="12" t="n">
        <v>1102</v>
      </c>
      <c r="AE254" s="8" t="s">
        <v>74</v>
      </c>
      <c r="AF254" s="8" t="s">
        <v>74</v>
      </c>
      <c r="AG254" s="12" t="n">
        <v>371.14</v>
      </c>
      <c r="AH254" s="12" t="n">
        <v>445.36</v>
      </c>
      <c r="AI254" s="12" t="n">
        <v>519.59</v>
      </c>
      <c r="AJ254" s="12" t="n">
        <v>623.51</v>
      </c>
      <c r="AK254" s="8" t="n">
        <v>16</v>
      </c>
      <c r="AL254" s="10" t="n">
        <v>0.5</v>
      </c>
      <c r="AM254" s="8" t="s">
        <v>77</v>
      </c>
      <c r="AN254" s="12"/>
      <c r="AO254" s="8" t="s">
        <v>74</v>
      </c>
      <c r="AP254" s="8" t="s">
        <v>74</v>
      </c>
      <c r="AQ254" s="10" t="n">
        <v>0.7</v>
      </c>
      <c r="AR254" s="8" t="n">
        <v>4</v>
      </c>
      <c r="AS254" s="8" t="n">
        <v>4</v>
      </c>
      <c r="AT254" s="8" t="n">
        <v>2</v>
      </c>
      <c r="AU254" s="8" t="n">
        <v>3</v>
      </c>
      <c r="AV254" s="8" t="n">
        <v>1</v>
      </c>
      <c r="AW254" s="8" t="n">
        <v>2</v>
      </c>
      <c r="AX254" s="8" t="n">
        <v>1</v>
      </c>
      <c r="AY254" s="8" t="n">
        <v>1</v>
      </c>
      <c r="AZ254" s="8" t="n">
        <v>3</v>
      </c>
      <c r="BA254" s="8" t="n">
        <v>3</v>
      </c>
      <c r="BB254" s="8" t="n">
        <v>2</v>
      </c>
      <c r="BC254" s="8" t="n">
        <v>2</v>
      </c>
      <c r="BD254" s="8" t="n">
        <v>0</v>
      </c>
      <c r="BE254" s="8" t="n">
        <v>0</v>
      </c>
      <c r="BF254" s="8" t="n">
        <v>0</v>
      </c>
      <c r="BG254" s="8" t="n">
        <v>0</v>
      </c>
      <c r="BH254" s="8" t="n">
        <v>2</v>
      </c>
      <c r="BI254" s="8" t="n">
        <v>2</v>
      </c>
      <c r="BJ254" s="9" t="n">
        <v>16</v>
      </c>
      <c r="BK254" s="9" t="n">
        <v>16</v>
      </c>
      <c r="BL254" s="9" t="n">
        <v>3</v>
      </c>
      <c r="BM254" s="9" t="n">
        <v>7</v>
      </c>
      <c r="BN254" s="10" t="n">
        <v>0.2</v>
      </c>
      <c r="BO254" s="10" t="n">
        <v>0.2</v>
      </c>
      <c r="BP254" s="10" t="n">
        <f aca="false">IF(AND(ISNUMBER(BN254),ISNUMBER(BO254)),BN254+BO254,"")</f>
        <v>0.4</v>
      </c>
      <c r="BQ254" s="10" t="n">
        <v>0.3</v>
      </c>
      <c r="BR254" s="10" t="n">
        <v>0.2</v>
      </c>
      <c r="BS254" s="10" t="n">
        <v>0.1</v>
      </c>
    </row>
    <row r="255" customFormat="false" ht="15" hidden="false" customHeight="false" outlineLevel="0" collapsed="false">
      <c r="A255" s="8" t="s">
        <v>90</v>
      </c>
      <c r="B255" s="8" t="s">
        <v>124</v>
      </c>
      <c r="C255" s="8" t="n">
        <v>7</v>
      </c>
      <c r="D255" s="9" t="n">
        <v>260</v>
      </c>
      <c r="E255" s="9" t="n">
        <v>121</v>
      </c>
      <c r="F255" s="8" t="s">
        <v>81</v>
      </c>
      <c r="G255" s="8" t="s">
        <v>74</v>
      </c>
      <c r="H255" s="10" t="n">
        <v>0</v>
      </c>
      <c r="I255" s="10" t="n">
        <v>0.028</v>
      </c>
      <c r="J255" s="10" t="n">
        <v>0.013</v>
      </c>
      <c r="K255" s="8" t="n">
        <v>0</v>
      </c>
      <c r="L255" s="8" t="n">
        <v>15</v>
      </c>
      <c r="M255" s="10" t="n">
        <v>0.004</v>
      </c>
      <c r="N255" s="8" t="n">
        <v>0</v>
      </c>
      <c r="O255" s="9" t="n">
        <v>19</v>
      </c>
      <c r="P255" s="10" t="n">
        <f aca="false">IF(AND(ISNUMBER(O255),ISNUMBER(D255),D255&gt;0),O255/D255,"")</f>
        <v>0.0730769230769231</v>
      </c>
      <c r="Q255" s="9"/>
      <c r="R255" s="9" t="n">
        <v>15</v>
      </c>
      <c r="S255" s="9" t="n">
        <v>125</v>
      </c>
      <c r="T255" s="11" t="n">
        <f aca="false">IF(AND(ISNUMBER(S255),ISNUMBER(D255),D255&gt;0),S255/D255,"")</f>
        <v>0.480769230769231</v>
      </c>
      <c r="U255" s="10" t="n">
        <v>0.06</v>
      </c>
      <c r="V255" s="10" t="n">
        <v>0.12</v>
      </c>
      <c r="W255" s="10" t="n">
        <v>0.07</v>
      </c>
      <c r="X255" s="10" t="n">
        <v>0.13</v>
      </c>
      <c r="Y255" s="8" t="n">
        <v>0</v>
      </c>
      <c r="Z255" s="8" t="s">
        <v>74</v>
      </c>
      <c r="AA255" s="8" t="n">
        <v>18</v>
      </c>
      <c r="AB255" s="8" t="n">
        <v>0</v>
      </c>
      <c r="AC255" s="11" t="n">
        <f aca="false">IF(AND(ISNUMBER(AA255),ISNUMBER(D255),D255&gt;0),AA255/D255*100,"")</f>
        <v>6.92307692307692</v>
      </c>
      <c r="AD255" s="12" t="n">
        <v>3130</v>
      </c>
      <c r="AE255" s="8" t="s">
        <v>74</v>
      </c>
      <c r="AF255" s="8" t="s">
        <v>77</v>
      </c>
      <c r="AG255" s="12" t="n">
        <v>294</v>
      </c>
      <c r="AH255" s="12" t="n">
        <v>343</v>
      </c>
      <c r="AI255" s="12" t="n">
        <v>402</v>
      </c>
      <c r="AJ255" s="12" t="n">
        <v>452</v>
      </c>
      <c r="AK255" s="8" t="n">
        <v>21</v>
      </c>
      <c r="AL255" s="10" t="n">
        <v>0.45</v>
      </c>
      <c r="AM255" s="8" t="s">
        <v>74</v>
      </c>
      <c r="AN255" s="12" t="n">
        <v>41</v>
      </c>
      <c r="AO255" s="8" t="s">
        <v>74</v>
      </c>
      <c r="AP255" s="8" t="s">
        <v>74</v>
      </c>
      <c r="AQ255" s="10" t="n">
        <v>0.95</v>
      </c>
      <c r="AR255" s="8" t="n">
        <v>3</v>
      </c>
      <c r="AS255" s="8" t="n">
        <v>3</v>
      </c>
      <c r="AT255" s="8" t="n">
        <v>1</v>
      </c>
      <c r="AU255" s="8" t="n">
        <v>1</v>
      </c>
      <c r="AV255" s="8" t="n">
        <v>2</v>
      </c>
      <c r="AW255" s="8" t="n">
        <v>1</v>
      </c>
      <c r="AX255" s="8" t="n">
        <v>2</v>
      </c>
      <c r="AY255" s="8" t="n">
        <v>1</v>
      </c>
      <c r="AZ255" s="8" t="n">
        <v>1</v>
      </c>
      <c r="BA255" s="8" t="n">
        <v>1</v>
      </c>
      <c r="BB255" s="8" t="n">
        <v>2</v>
      </c>
      <c r="BC255" s="8" t="n">
        <v>3</v>
      </c>
      <c r="BD255" s="8" t="n">
        <v>0</v>
      </c>
      <c r="BE255" s="8" t="n">
        <v>0</v>
      </c>
      <c r="BF255" s="8" t="n">
        <v>1</v>
      </c>
      <c r="BG255" s="8" t="n">
        <v>1</v>
      </c>
      <c r="BH255" s="8" t="n">
        <v>2</v>
      </c>
      <c r="BI255" s="8" t="n">
        <v>4</v>
      </c>
      <c r="BJ255" s="9" t="n">
        <v>10</v>
      </c>
      <c r="BK255" s="9" t="n">
        <v>10</v>
      </c>
      <c r="BL255" s="9" t="n">
        <v>2</v>
      </c>
      <c r="BM255" s="9" t="n">
        <v>6</v>
      </c>
      <c r="BN255" s="10" t="n">
        <v>0.1</v>
      </c>
      <c r="BO255" s="10" t="n">
        <v>0.2</v>
      </c>
      <c r="BP255" s="10" t="n">
        <f aca="false">IF(AND(ISNUMBER(BN255),ISNUMBER(BO255)),BN255+BO255,"")</f>
        <v>0.3</v>
      </c>
      <c r="BQ255" s="10" t="n">
        <v>0.5</v>
      </c>
      <c r="BR255" s="10" t="n">
        <v>0.2</v>
      </c>
      <c r="BS255" s="10" t="n">
        <v>0</v>
      </c>
    </row>
    <row r="256" customFormat="false" ht="15" hidden="false" customHeight="false" outlineLevel="0" collapsed="false">
      <c r="A256" s="8" t="s">
        <v>91</v>
      </c>
      <c r="B256" s="8" t="s">
        <v>124</v>
      </c>
      <c r="C256" s="8" t="n">
        <v>7</v>
      </c>
      <c r="D256" s="9" t="n">
        <v>3109</v>
      </c>
      <c r="E256" s="9" t="n">
        <v>1472</v>
      </c>
      <c r="F256" s="8" t="s">
        <v>92</v>
      </c>
      <c r="G256" s="8" t="s">
        <v>74</v>
      </c>
      <c r="H256" s="10" t="n">
        <v>0.1</v>
      </c>
      <c r="I256" s="10" t="n">
        <v>0.067</v>
      </c>
      <c r="J256" s="10" t="n">
        <v>0.15</v>
      </c>
      <c r="K256" s="8" t="n">
        <v>1</v>
      </c>
      <c r="L256" s="8" t="n">
        <v>3</v>
      </c>
      <c r="M256" s="10" t="n">
        <v>0.004</v>
      </c>
      <c r="N256" s="8" t="n">
        <v>0</v>
      </c>
      <c r="O256" s="9" t="n">
        <v>489</v>
      </c>
      <c r="P256" s="10" t="n">
        <f aca="false">IF(AND(ISNUMBER(O256),ISNUMBER(D256),D256&gt;0),O256/D256,"")</f>
        <v>0.157285300739788</v>
      </c>
      <c r="Q256" s="9" t="n">
        <v>502</v>
      </c>
      <c r="R256" s="9" t="n">
        <v>480</v>
      </c>
      <c r="S256" s="9" t="n">
        <v>3460</v>
      </c>
      <c r="T256" s="11" t="n">
        <f aca="false">IF(AND(ISNUMBER(S256),ISNUMBER(D256),D256&gt;0),S256/D256,"")</f>
        <v>1.11289803795433</v>
      </c>
      <c r="U256" s="10" t="n">
        <v>0.082</v>
      </c>
      <c r="V256" s="10" t="n">
        <v>0.045</v>
      </c>
      <c r="W256" s="10" t="n">
        <v>0.13</v>
      </c>
      <c r="X256" s="10" t="n">
        <v>0.04</v>
      </c>
      <c r="Y256" s="8" t="n">
        <v>0</v>
      </c>
      <c r="Z256" s="8" t="s">
        <v>74</v>
      </c>
      <c r="AA256" s="8" t="n">
        <v>8</v>
      </c>
      <c r="AB256" s="8" t="n">
        <v>0</v>
      </c>
      <c r="AC256" s="11" t="n">
        <f aca="false">IF(AND(ISNUMBER(AA256),ISNUMBER(D256),D256&gt;0),AA256/D256*100,"")</f>
        <v>0.257317465422966</v>
      </c>
      <c r="AD256" s="12" t="n">
        <v>721</v>
      </c>
      <c r="AE256" s="8" t="s">
        <v>77</v>
      </c>
      <c r="AF256" s="8" t="s">
        <v>74</v>
      </c>
      <c r="AG256" s="12" t="n">
        <v>331.53</v>
      </c>
      <c r="AH256" s="12" t="n">
        <v>438.69</v>
      </c>
      <c r="AI256" s="12" t="n">
        <v>447.99</v>
      </c>
      <c r="AJ256" s="12" t="n">
        <v>807.27</v>
      </c>
      <c r="AK256" s="8" t="n">
        <v>30</v>
      </c>
      <c r="AL256" s="10" t="n">
        <v>0.6</v>
      </c>
      <c r="AM256" s="8" t="s">
        <v>74</v>
      </c>
      <c r="AN256" s="12" t="n">
        <v>25</v>
      </c>
      <c r="AO256" s="8" t="s">
        <v>74</v>
      </c>
      <c r="AP256" s="8" t="s">
        <v>74</v>
      </c>
      <c r="AQ256" s="10" t="n">
        <v>1</v>
      </c>
      <c r="AR256" s="8" t="n">
        <v>4</v>
      </c>
      <c r="AS256" s="8" t="n">
        <v>2</v>
      </c>
      <c r="AT256" s="8" t="n">
        <v>2</v>
      </c>
      <c r="AU256" s="8" t="n">
        <v>3</v>
      </c>
      <c r="AV256" s="8" t="n">
        <v>3</v>
      </c>
      <c r="AW256" s="8" t="n">
        <v>1</v>
      </c>
      <c r="AX256" s="8" t="n">
        <v>2</v>
      </c>
      <c r="AY256" s="8" t="n">
        <v>2</v>
      </c>
      <c r="AZ256" s="8" t="n">
        <v>1</v>
      </c>
      <c r="BA256" s="8" t="n">
        <v>1</v>
      </c>
      <c r="BB256" s="8" t="n">
        <v>2</v>
      </c>
      <c r="BC256" s="8" t="n">
        <v>1</v>
      </c>
      <c r="BD256" s="8" t="n">
        <v>1</v>
      </c>
      <c r="BE256" s="8" t="n">
        <v>1</v>
      </c>
      <c r="BF256" s="8" t="n">
        <v>1</v>
      </c>
      <c r="BG256" s="8" t="n">
        <v>0</v>
      </c>
      <c r="BH256" s="8" t="n">
        <v>2</v>
      </c>
      <c r="BI256" s="8" t="n">
        <v>1</v>
      </c>
      <c r="BJ256" s="9" t="n">
        <v>216</v>
      </c>
      <c r="BK256" s="9" t="n">
        <v>249</v>
      </c>
      <c r="BL256" s="9" t="n">
        <v>33</v>
      </c>
      <c r="BM256" s="9" t="n">
        <v>101</v>
      </c>
      <c r="BN256" s="10" t="n">
        <v>0.3</v>
      </c>
      <c r="BO256" s="10" t="n">
        <v>0.2</v>
      </c>
      <c r="BP256" s="10" t="n">
        <f aca="false">IF(AND(ISNUMBER(BN256),ISNUMBER(BO256)),BN256+BO256,"")</f>
        <v>0.5</v>
      </c>
      <c r="BQ256" s="10" t="n">
        <v>0.2</v>
      </c>
      <c r="BR256" s="10" t="n">
        <v>0.1</v>
      </c>
      <c r="BS256" s="10" t="n">
        <v>0.1</v>
      </c>
    </row>
    <row r="257" customFormat="false" ht="15" hidden="false" customHeight="false" outlineLevel="0" collapsed="false">
      <c r="A257" s="8" t="s">
        <v>93</v>
      </c>
      <c r="B257" s="8" t="s">
        <v>124</v>
      </c>
      <c r="C257" s="8" t="n">
        <v>7</v>
      </c>
      <c r="D257" s="9" t="n">
        <v>145</v>
      </c>
      <c r="E257" s="9" t="n">
        <v>94</v>
      </c>
      <c r="F257" s="8" t="s">
        <v>94</v>
      </c>
      <c r="G257" s="8" t="s">
        <v>74</v>
      </c>
      <c r="H257" s="10" t="n">
        <v>0.9</v>
      </c>
      <c r="I257" s="10" t="n">
        <v>0.15</v>
      </c>
      <c r="J257" s="10" t="n">
        <v>0.01</v>
      </c>
      <c r="K257" s="8" t="n">
        <v>0</v>
      </c>
      <c r="L257" s="8" t="n">
        <v>20</v>
      </c>
      <c r="M257" s="10" t="n">
        <v>0.01</v>
      </c>
      <c r="N257" s="8" t="n">
        <v>0</v>
      </c>
      <c r="O257" s="9" t="n">
        <v>21</v>
      </c>
      <c r="P257" s="10" t="n">
        <f aca="false">IF(AND(ISNUMBER(O257),ISNUMBER(D257),D257&gt;0),O257/D257,"")</f>
        <v>0.144827586206897</v>
      </c>
      <c r="Q257" s="9"/>
      <c r="R257" s="9" t="n">
        <v>60</v>
      </c>
      <c r="S257" s="9" t="n">
        <v>88</v>
      </c>
      <c r="T257" s="11" t="n">
        <f aca="false">IF(AND(ISNUMBER(S257),ISNUMBER(D257),D257&gt;0),S257/D257,"")</f>
        <v>0.606896551724138</v>
      </c>
      <c r="U257" s="10" t="n">
        <v>0.15</v>
      </c>
      <c r="V257" s="10" t="n">
        <v>0.09</v>
      </c>
      <c r="W257" s="10" t="n">
        <v>0.065</v>
      </c>
      <c r="X257" s="10" t="n">
        <v>0.1</v>
      </c>
      <c r="Y257" s="8" t="n">
        <v>0</v>
      </c>
      <c r="Z257" s="8" t="s">
        <v>74</v>
      </c>
      <c r="AA257" s="8" t="n">
        <v>16</v>
      </c>
      <c r="AB257" s="8" t="n">
        <v>0</v>
      </c>
      <c r="AC257" s="11" t="n">
        <f aca="false">IF(AND(ISNUMBER(AA257),ISNUMBER(D257),D257&gt;0),AA257/D257*100,"")</f>
        <v>11.0344827586207</v>
      </c>
      <c r="AD257" s="12" t="n">
        <v>2824.5</v>
      </c>
      <c r="AE257" s="8" t="s">
        <v>77</v>
      </c>
      <c r="AF257" s="8" t="s">
        <v>74</v>
      </c>
      <c r="AG257" s="12" t="n">
        <v>329.15</v>
      </c>
      <c r="AH257" s="12" t="n">
        <v>392.15</v>
      </c>
      <c r="AI257" s="12" t="n">
        <v>446.67</v>
      </c>
      <c r="AJ257" s="12" t="n">
        <v>500.31</v>
      </c>
      <c r="AK257" s="8" t="n">
        <v>15</v>
      </c>
      <c r="AL257" s="10" t="n">
        <v>0.25</v>
      </c>
      <c r="AM257" s="8" t="s">
        <v>74</v>
      </c>
      <c r="AN257" s="12" t="n">
        <v>65</v>
      </c>
      <c r="AO257" s="8" t="s">
        <v>77</v>
      </c>
      <c r="AP257" s="8" t="s">
        <v>74</v>
      </c>
      <c r="AQ257" s="10" t="n">
        <v>0.85</v>
      </c>
      <c r="AR257" s="8" t="n">
        <v>4</v>
      </c>
      <c r="AS257" s="8" t="n">
        <v>4</v>
      </c>
      <c r="AT257" s="8" t="n">
        <v>1</v>
      </c>
      <c r="AU257" s="8" t="n">
        <v>1</v>
      </c>
      <c r="AV257" s="8" t="n">
        <v>2</v>
      </c>
      <c r="AW257" s="8" t="n">
        <v>0</v>
      </c>
      <c r="AX257" s="8" t="n">
        <v>2</v>
      </c>
      <c r="AY257" s="8" t="n">
        <v>1</v>
      </c>
      <c r="AZ257" s="8" t="n">
        <v>1</v>
      </c>
      <c r="BA257" s="8" t="n">
        <v>1</v>
      </c>
      <c r="BB257" s="8" t="n">
        <v>2</v>
      </c>
      <c r="BC257" s="8" t="n">
        <v>1</v>
      </c>
      <c r="BD257" s="8" t="n">
        <v>1</v>
      </c>
      <c r="BE257" s="8" t="n">
        <v>2</v>
      </c>
      <c r="BF257" s="8" t="n">
        <v>0</v>
      </c>
      <c r="BG257" s="8" t="n">
        <v>0</v>
      </c>
      <c r="BH257" s="8" t="n">
        <v>1</v>
      </c>
      <c r="BI257" s="8" t="n">
        <v>0</v>
      </c>
      <c r="BJ257" s="9" t="n">
        <v>8</v>
      </c>
      <c r="BK257" s="9" t="n">
        <v>10</v>
      </c>
      <c r="BL257" s="9" t="n">
        <v>4</v>
      </c>
      <c r="BM257" s="9" t="n">
        <v>2</v>
      </c>
      <c r="BN257" s="10" t="n">
        <v>0.6</v>
      </c>
      <c r="BO257" s="10" t="n">
        <v>0.2</v>
      </c>
      <c r="BP257" s="10" t="n">
        <f aca="false">IF(AND(ISNUMBER(BN257),ISNUMBER(BO257)),BN257+BO257,"")</f>
        <v>0.8</v>
      </c>
      <c r="BQ257" s="10" t="n">
        <v>0.1</v>
      </c>
      <c r="BR257" s="10" t="n">
        <v>0.1</v>
      </c>
      <c r="BS257" s="10" t="n">
        <v>0</v>
      </c>
    </row>
    <row r="258" customFormat="false" ht="15" hidden="false" customHeight="false" outlineLevel="0" collapsed="false">
      <c r="A258" s="8" t="s">
        <v>95</v>
      </c>
      <c r="B258" s="8" t="s">
        <v>124</v>
      </c>
      <c r="C258" s="8" t="n">
        <v>7</v>
      </c>
      <c r="D258" s="9" t="n">
        <v>19</v>
      </c>
      <c r="E258" s="9" t="n">
        <v>17</v>
      </c>
      <c r="F258" s="8" t="s">
        <v>81</v>
      </c>
      <c r="G258" s="8" t="s">
        <v>77</v>
      </c>
      <c r="H258" s="10" t="n">
        <v>0.1</v>
      </c>
      <c r="I258" s="10" t="n">
        <v>0.001</v>
      </c>
      <c r="J258" s="10" t="n">
        <v>0.001</v>
      </c>
      <c r="K258" s="8" t="n">
        <v>0</v>
      </c>
      <c r="L258" s="8" t="n">
        <v>5</v>
      </c>
      <c r="M258" s="10" t="n">
        <v>0.001</v>
      </c>
      <c r="N258" s="8" t="n">
        <v>0</v>
      </c>
      <c r="O258" s="9" t="n">
        <v>0</v>
      </c>
      <c r="P258" s="10" t="n">
        <f aca="false">IF(AND(ISNUMBER(O258),ISNUMBER(D258),D258&gt;0),O258/D258,"")</f>
        <v>0</v>
      </c>
      <c r="Q258" s="9" t="n">
        <v>0</v>
      </c>
      <c r="R258" s="9" t="n">
        <v>0</v>
      </c>
      <c r="S258" s="9" t="n">
        <v>8</v>
      </c>
      <c r="T258" s="11" t="n">
        <f aca="false">IF(AND(ISNUMBER(S258),ISNUMBER(D258),D258&gt;0),S258/D258,"")</f>
        <v>0.421052631578947</v>
      </c>
      <c r="U258" s="10" t="n">
        <v>0.05</v>
      </c>
      <c r="V258" s="10" t="n">
        <v>0.1</v>
      </c>
      <c r="W258" s="10"/>
      <c r="X258" s="10" t="n">
        <v>0.1</v>
      </c>
      <c r="Y258" s="8" t="n">
        <v>0</v>
      </c>
      <c r="Z258" s="8" t="s">
        <v>77</v>
      </c>
      <c r="AA258" s="8" t="n">
        <v>0</v>
      </c>
      <c r="AB258" s="8" t="n">
        <v>0</v>
      </c>
      <c r="AC258" s="11" t="n">
        <f aca="false">IF(AND(ISNUMBER(AA258),ISNUMBER(D258),D258&gt;0),AA258/D258*100,"")</f>
        <v>0</v>
      </c>
      <c r="AD258" s="12"/>
      <c r="AE258" s="8" t="s">
        <v>74</v>
      </c>
      <c r="AF258" s="8" t="s">
        <v>77</v>
      </c>
      <c r="AG258" s="12" t="n">
        <v>285.71</v>
      </c>
      <c r="AH258" s="12" t="n">
        <v>385.71</v>
      </c>
      <c r="AI258" s="12" t="n">
        <v>457.14</v>
      </c>
      <c r="AJ258" s="12" t="n">
        <v>642.86</v>
      </c>
      <c r="AK258" s="8" t="n">
        <v>15</v>
      </c>
      <c r="AL258" s="10" t="n">
        <v>0.25</v>
      </c>
      <c r="AM258" s="8" t="s">
        <v>77</v>
      </c>
      <c r="AN258" s="12"/>
      <c r="AO258" s="8" t="s">
        <v>77</v>
      </c>
      <c r="AP258" s="8"/>
      <c r="AQ258" s="10"/>
      <c r="AR258" s="8" t="n">
        <v>3</v>
      </c>
      <c r="AS258" s="8" t="n">
        <v>2</v>
      </c>
      <c r="AT258" s="8" t="n">
        <v>0</v>
      </c>
      <c r="AU258" s="8" t="n">
        <v>1</v>
      </c>
      <c r="AV258" s="8" t="n">
        <v>0</v>
      </c>
      <c r="AW258" s="8" t="n">
        <v>0</v>
      </c>
      <c r="AX258" s="8" t="n">
        <v>0</v>
      </c>
      <c r="AY258" s="8" t="n">
        <v>1</v>
      </c>
      <c r="AZ258" s="8" t="n">
        <v>0</v>
      </c>
      <c r="BA258" s="8" t="n">
        <v>0</v>
      </c>
      <c r="BB258" s="8" t="n">
        <v>0</v>
      </c>
      <c r="BC258" s="8" t="n">
        <v>0</v>
      </c>
      <c r="BD258" s="8" t="n">
        <v>0</v>
      </c>
      <c r="BE258" s="8" t="n">
        <v>1</v>
      </c>
      <c r="BF258" s="8" t="n">
        <v>0</v>
      </c>
      <c r="BG258" s="8" t="n">
        <v>0</v>
      </c>
      <c r="BH258" s="8" t="n">
        <v>1</v>
      </c>
      <c r="BI258" s="8" t="n">
        <v>0</v>
      </c>
      <c r="BJ258" s="9"/>
      <c r="BK258" s="9" t="n">
        <v>0</v>
      </c>
      <c r="BL258" s="9" t="n">
        <v>0</v>
      </c>
      <c r="BM258" s="9"/>
      <c r="BN258" s="10" t="n">
        <v>0</v>
      </c>
      <c r="BO258" s="10" t="n">
        <v>0.3</v>
      </c>
      <c r="BP258" s="10" t="n">
        <f aca="false">IF(AND(ISNUMBER(BN258),ISNUMBER(BO258)),BN258+BO258,"")</f>
        <v>0.3</v>
      </c>
      <c r="BQ258" s="10" t="n">
        <v>0.7</v>
      </c>
      <c r="BR258" s="10" t="n">
        <v>0</v>
      </c>
      <c r="BS258" s="10" t="n">
        <v>0</v>
      </c>
    </row>
    <row r="259" customFormat="false" ht="15" hidden="false" customHeight="false" outlineLevel="0" collapsed="false">
      <c r="A259" s="8" t="s">
        <v>96</v>
      </c>
      <c r="B259" s="8" t="s">
        <v>124</v>
      </c>
      <c r="C259" s="8" t="n">
        <v>7</v>
      </c>
      <c r="D259" s="9" t="n">
        <v>672</v>
      </c>
      <c r="E259" s="9" t="n">
        <v>125</v>
      </c>
      <c r="F259" s="8" t="s">
        <v>76</v>
      </c>
      <c r="G259" s="8" t="s">
        <v>74</v>
      </c>
      <c r="H259" s="10" t="n">
        <v>0.2</v>
      </c>
      <c r="I259" s="10" t="n">
        <v>0.039</v>
      </c>
      <c r="J259" s="10" t="n">
        <v>0.014</v>
      </c>
      <c r="K259" s="8" t="n">
        <v>0</v>
      </c>
      <c r="L259" s="8" t="n">
        <v>7</v>
      </c>
      <c r="M259" s="10" t="n">
        <v>0.019</v>
      </c>
      <c r="N259" s="8" t="n">
        <v>0</v>
      </c>
      <c r="O259" s="9" t="n">
        <v>70</v>
      </c>
      <c r="P259" s="10" t="n">
        <f aca="false">IF(AND(ISNUMBER(O259),ISNUMBER(D259),D259&gt;0),O259/D259,"")</f>
        <v>0.104166666666667</v>
      </c>
      <c r="Q259" s="9" t="n">
        <v>40</v>
      </c>
      <c r="R259" s="9" t="n">
        <v>42</v>
      </c>
      <c r="S259" s="9" t="n">
        <v>317</v>
      </c>
      <c r="T259" s="11" t="n">
        <f aca="false">IF(AND(ISNUMBER(S259),ISNUMBER(D259),D259&gt;0),S259/D259,"")</f>
        <v>0.47172619047619</v>
      </c>
      <c r="U259" s="10" t="n">
        <v>0.08</v>
      </c>
      <c r="V259" s="10" t="n">
        <v>0.1</v>
      </c>
      <c r="W259" s="10" t="n">
        <v>0.05</v>
      </c>
      <c r="X259" s="10" t="n">
        <v>0.01</v>
      </c>
      <c r="Y259" s="8" t="n">
        <v>0</v>
      </c>
      <c r="Z259" s="8" t="s">
        <v>74</v>
      </c>
      <c r="AA259" s="8" t="n">
        <v>17</v>
      </c>
      <c r="AB259" s="8" t="n">
        <v>0</v>
      </c>
      <c r="AC259" s="11" t="n">
        <f aca="false">IF(AND(ISNUMBER(AA259),ISNUMBER(D259),D259&gt;0),AA259/D259*100,"")</f>
        <v>2.5297619047619</v>
      </c>
      <c r="AD259" s="12" t="n">
        <v>450</v>
      </c>
      <c r="AE259" s="8" t="s">
        <v>74</v>
      </c>
      <c r="AF259" s="8" t="s">
        <v>77</v>
      </c>
      <c r="AG259" s="12" t="n">
        <v>368.01</v>
      </c>
      <c r="AH259" s="12" t="n">
        <v>448.03</v>
      </c>
      <c r="AI259" s="12" t="n">
        <v>649.32</v>
      </c>
      <c r="AJ259" s="12" t="n">
        <v>746.82</v>
      </c>
      <c r="AK259" s="8" t="n">
        <v>19</v>
      </c>
      <c r="AL259" s="10" t="n">
        <v>0.55</v>
      </c>
      <c r="AM259" s="8" t="s">
        <v>74</v>
      </c>
      <c r="AN259" s="12" t="n">
        <v>50</v>
      </c>
      <c r="AO259" s="8" t="s">
        <v>77</v>
      </c>
      <c r="AP259" s="8" t="s">
        <v>74</v>
      </c>
      <c r="AQ259" s="10" t="n">
        <v>0.9</v>
      </c>
      <c r="AR259" s="8" t="n">
        <v>3</v>
      </c>
      <c r="AS259" s="8" t="n">
        <v>2</v>
      </c>
      <c r="AT259" s="8" t="n">
        <v>1</v>
      </c>
      <c r="AU259" s="8" t="n">
        <v>3</v>
      </c>
      <c r="AV259" s="8" t="n">
        <v>0</v>
      </c>
      <c r="AW259" s="8" t="n">
        <v>1</v>
      </c>
      <c r="AX259" s="8" t="n">
        <v>0</v>
      </c>
      <c r="AY259" s="8" t="n">
        <v>0</v>
      </c>
      <c r="AZ259" s="8" t="n">
        <v>2</v>
      </c>
      <c r="BA259" s="8" t="n">
        <v>0</v>
      </c>
      <c r="BB259" s="8" t="n">
        <v>2</v>
      </c>
      <c r="BC259" s="8" t="n">
        <v>3</v>
      </c>
      <c r="BD259" s="8" t="n">
        <v>2</v>
      </c>
      <c r="BE259" s="8" t="n">
        <v>1</v>
      </c>
      <c r="BF259" s="8" t="n">
        <v>1</v>
      </c>
      <c r="BG259" s="8" t="n">
        <v>0</v>
      </c>
      <c r="BH259" s="8" t="n">
        <v>3</v>
      </c>
      <c r="BI259" s="8" t="n">
        <v>3</v>
      </c>
      <c r="BJ259" s="9" t="n">
        <v>60</v>
      </c>
      <c r="BK259" s="9" t="n">
        <v>13</v>
      </c>
      <c r="BL259" s="9" t="n">
        <v>0</v>
      </c>
      <c r="BM259" s="9" t="n">
        <v>0</v>
      </c>
      <c r="BN259" s="10" t="n">
        <v>0.6</v>
      </c>
      <c r="BO259" s="10" t="n">
        <v>0.2</v>
      </c>
      <c r="BP259" s="10" t="n">
        <f aca="false">IF(AND(ISNUMBER(BN259),ISNUMBER(BO259)),BN259+BO259,"")</f>
        <v>0.8</v>
      </c>
      <c r="BQ259" s="10" t="n">
        <v>0.1</v>
      </c>
      <c r="BR259" s="10" t="n">
        <v>0.1</v>
      </c>
      <c r="BS259" s="10" t="n">
        <v>0</v>
      </c>
    </row>
    <row r="260" customFormat="false" ht="15" hidden="false" customHeight="false" outlineLevel="0" collapsed="false">
      <c r="A260" s="8" t="s">
        <v>97</v>
      </c>
      <c r="B260" s="8" t="s">
        <v>124</v>
      </c>
      <c r="C260" s="8" t="n">
        <v>7</v>
      </c>
      <c r="D260" s="9" t="n">
        <v>682</v>
      </c>
      <c r="E260" s="9" t="n">
        <v>485</v>
      </c>
      <c r="F260" s="8" t="s">
        <v>76</v>
      </c>
      <c r="G260" s="8" t="s">
        <v>74</v>
      </c>
      <c r="H260" s="10" t="n">
        <v>0</v>
      </c>
      <c r="I260" s="10" t="n">
        <v>0.008</v>
      </c>
      <c r="J260" s="10" t="n">
        <v>0.002</v>
      </c>
      <c r="K260" s="8" t="n">
        <v>0</v>
      </c>
      <c r="L260" s="8" t="n">
        <v>30</v>
      </c>
      <c r="M260" s="10"/>
      <c r="N260" s="8" t="n">
        <v>0</v>
      </c>
      <c r="O260" s="9" t="n">
        <v>11</v>
      </c>
      <c r="P260" s="10" t="n">
        <f aca="false">IF(AND(ISNUMBER(O260),ISNUMBER(D260),D260&gt;0),O260/D260,"")</f>
        <v>0.0161290322580645</v>
      </c>
      <c r="Q260" s="9"/>
      <c r="R260" s="9" t="n">
        <v>38</v>
      </c>
      <c r="S260" s="9" t="n">
        <v>257</v>
      </c>
      <c r="T260" s="11" t="n">
        <f aca="false">IF(AND(ISNUMBER(S260),ISNUMBER(D260),D260&gt;0),S260/D260,"")</f>
        <v>0.37683284457478</v>
      </c>
      <c r="U260" s="10" t="n">
        <v>0.05</v>
      </c>
      <c r="V260" s="10" t="n">
        <v>0.105</v>
      </c>
      <c r="W260" s="10" t="n">
        <v>0.13</v>
      </c>
      <c r="X260" s="10"/>
      <c r="Y260" s="8" t="n">
        <v>0</v>
      </c>
      <c r="Z260" s="8" t="s">
        <v>77</v>
      </c>
      <c r="AA260" s="8" t="n">
        <v>0</v>
      </c>
      <c r="AB260" s="8" t="n">
        <v>0</v>
      </c>
      <c r="AC260" s="11" t="n">
        <f aca="false">IF(AND(ISNUMBER(AA260),ISNUMBER(D260),D260&gt;0),AA260/D260*100,"")</f>
        <v>0</v>
      </c>
      <c r="AD260" s="12"/>
      <c r="AE260" s="8" t="s">
        <v>77</v>
      </c>
      <c r="AF260" s="8" t="s">
        <v>77</v>
      </c>
      <c r="AG260" s="12" t="n">
        <v>476</v>
      </c>
      <c r="AH260" s="12" t="n">
        <v>577</v>
      </c>
      <c r="AI260" s="12" t="n">
        <v>750</v>
      </c>
      <c r="AJ260" s="12" t="n">
        <v>900</v>
      </c>
      <c r="AK260" s="8" t="n">
        <v>25</v>
      </c>
      <c r="AL260" s="10" t="n">
        <v>0.7</v>
      </c>
      <c r="AM260" s="8" t="s">
        <v>74</v>
      </c>
      <c r="AN260" s="12" t="n">
        <v>47</v>
      </c>
      <c r="AO260" s="8" t="s">
        <v>77</v>
      </c>
      <c r="AP260" s="8" t="s">
        <v>74</v>
      </c>
      <c r="AQ260" s="10"/>
      <c r="AR260" s="8" t="n">
        <v>4</v>
      </c>
      <c r="AS260" s="8" t="n">
        <v>1</v>
      </c>
      <c r="AT260" s="8" t="n">
        <v>0</v>
      </c>
      <c r="AU260" s="8" t="n">
        <v>0</v>
      </c>
      <c r="AV260" s="8" t="n">
        <v>0</v>
      </c>
      <c r="AW260" s="8" t="n">
        <v>0</v>
      </c>
      <c r="AX260" s="8" t="n">
        <v>1</v>
      </c>
      <c r="AY260" s="8" t="n">
        <v>1</v>
      </c>
      <c r="AZ260" s="8" t="n">
        <v>2</v>
      </c>
      <c r="BA260" s="8" t="n">
        <v>1</v>
      </c>
      <c r="BB260" s="8" t="n">
        <v>0</v>
      </c>
      <c r="BC260" s="8" t="n">
        <v>0</v>
      </c>
      <c r="BD260" s="8" t="n">
        <v>0</v>
      </c>
      <c r="BE260" s="8" t="n">
        <v>0</v>
      </c>
      <c r="BF260" s="8" t="n">
        <v>0</v>
      </c>
      <c r="BG260" s="8" t="n">
        <v>0</v>
      </c>
      <c r="BH260" s="8" t="n">
        <v>0</v>
      </c>
      <c r="BI260" s="8" t="n">
        <v>2</v>
      </c>
      <c r="BJ260" s="9" t="n">
        <v>9</v>
      </c>
      <c r="BK260" s="9" t="n">
        <v>0</v>
      </c>
      <c r="BL260" s="9" t="n">
        <v>0</v>
      </c>
      <c r="BM260" s="9" t="n">
        <v>4</v>
      </c>
      <c r="BN260" s="10" t="n">
        <v>0</v>
      </c>
      <c r="BO260" s="10" t="n">
        <v>0</v>
      </c>
      <c r="BP260" s="10" t="n">
        <f aca="false">IF(AND(ISNUMBER(BN260),ISNUMBER(BO260)),BN260+BO260,"")</f>
        <v>0</v>
      </c>
      <c r="BQ260" s="10" t="n">
        <v>0.5</v>
      </c>
      <c r="BR260" s="10" t="n">
        <v>0.3</v>
      </c>
      <c r="BS260" s="10" t="n">
        <v>0.2</v>
      </c>
    </row>
    <row r="261" customFormat="false" ht="15" hidden="false" customHeight="false" outlineLevel="0" collapsed="false">
      <c r="A261" s="8" t="s">
        <v>98</v>
      </c>
      <c r="B261" s="8" t="s">
        <v>124</v>
      </c>
      <c r="C261" s="8" t="n">
        <v>7</v>
      </c>
      <c r="D261" s="9" t="n">
        <v>3125</v>
      </c>
      <c r="E261" s="9" t="n">
        <v>978</v>
      </c>
      <c r="F261" s="8" t="s">
        <v>73</v>
      </c>
      <c r="G261" s="8" t="s">
        <v>74</v>
      </c>
      <c r="H261" s="10" t="n">
        <v>0.3</v>
      </c>
      <c r="I261" s="10" t="n">
        <v>0.025</v>
      </c>
      <c r="J261" s="10" t="n">
        <v>0.011</v>
      </c>
      <c r="K261" s="8" t="n">
        <v>0</v>
      </c>
      <c r="L261" s="8" t="n">
        <v>3</v>
      </c>
      <c r="M261" s="10" t="n">
        <v>0.037</v>
      </c>
      <c r="N261" s="8" t="n">
        <v>0</v>
      </c>
      <c r="O261" s="9" t="n">
        <v>562</v>
      </c>
      <c r="P261" s="10" t="n">
        <f aca="false">IF(AND(ISNUMBER(O261),ISNUMBER(D261),D261&gt;0),O261/D261,"")</f>
        <v>0.17984</v>
      </c>
      <c r="Q261" s="9" t="n">
        <v>680</v>
      </c>
      <c r="R261" s="9" t="n">
        <v>680</v>
      </c>
      <c r="S261" s="9" t="n">
        <v>1390</v>
      </c>
      <c r="T261" s="11" t="n">
        <f aca="false">IF(AND(ISNUMBER(S261),ISNUMBER(D261),D261&gt;0),S261/D261,"")</f>
        <v>0.4448</v>
      </c>
      <c r="U261" s="10" t="n">
        <v>0.07</v>
      </c>
      <c r="V261" s="10" t="n">
        <v>0.08</v>
      </c>
      <c r="W261" s="10" t="n">
        <v>0.06</v>
      </c>
      <c r="X261" s="10"/>
      <c r="Y261" s="8" t="n">
        <v>0</v>
      </c>
      <c r="Z261" s="8" t="s">
        <v>74</v>
      </c>
      <c r="AA261" s="8" t="n">
        <v>41</v>
      </c>
      <c r="AB261" s="8" t="n">
        <v>1</v>
      </c>
      <c r="AC261" s="11" t="n">
        <f aca="false">IF(AND(ISNUMBER(AA261),ISNUMBER(D261),D261&gt;0),AA261/D261*100,"")</f>
        <v>1.312</v>
      </c>
      <c r="AD261" s="12" t="n">
        <v>1136</v>
      </c>
      <c r="AE261" s="8" t="s">
        <v>74</v>
      </c>
      <c r="AF261" s="8" t="s">
        <v>74</v>
      </c>
      <c r="AG261" s="12" t="n">
        <v>330</v>
      </c>
      <c r="AH261" s="12" t="n">
        <v>380</v>
      </c>
      <c r="AI261" s="12" t="n">
        <v>425.74</v>
      </c>
      <c r="AJ261" s="12" t="n">
        <v>546.28</v>
      </c>
      <c r="AK261" s="8" t="n">
        <v>18</v>
      </c>
      <c r="AL261" s="10" t="n">
        <v>0.6</v>
      </c>
      <c r="AM261" s="8" t="s">
        <v>74</v>
      </c>
      <c r="AN261" s="12" t="n">
        <v>29</v>
      </c>
      <c r="AO261" s="8" t="s">
        <v>77</v>
      </c>
      <c r="AP261" s="8"/>
      <c r="AQ261" s="10" t="n">
        <v>0.75</v>
      </c>
      <c r="AR261" s="8" t="n">
        <v>2</v>
      </c>
      <c r="AS261" s="8" t="n">
        <v>1</v>
      </c>
      <c r="AT261" s="8" t="n">
        <v>0</v>
      </c>
      <c r="AU261" s="8" t="n">
        <v>2</v>
      </c>
      <c r="AV261" s="8" t="n">
        <v>1</v>
      </c>
      <c r="AW261" s="8" t="n">
        <v>1</v>
      </c>
      <c r="AX261" s="8" t="n">
        <v>2</v>
      </c>
      <c r="AY261" s="8" t="n">
        <v>2</v>
      </c>
      <c r="AZ261" s="8" t="n">
        <v>2</v>
      </c>
      <c r="BA261" s="8" t="n">
        <v>0</v>
      </c>
      <c r="BB261" s="8" t="n">
        <v>3</v>
      </c>
      <c r="BC261" s="8" t="n">
        <v>3</v>
      </c>
      <c r="BD261" s="8" t="n">
        <v>2</v>
      </c>
      <c r="BE261" s="8" t="n">
        <v>1</v>
      </c>
      <c r="BF261" s="8" t="n">
        <v>1</v>
      </c>
      <c r="BG261" s="8" t="n">
        <v>0</v>
      </c>
      <c r="BH261" s="8" t="n">
        <v>4</v>
      </c>
      <c r="BI261" s="8" t="n">
        <v>4</v>
      </c>
      <c r="BJ261" s="9" t="n">
        <v>108</v>
      </c>
      <c r="BK261" s="9" t="n">
        <v>206</v>
      </c>
      <c r="BL261" s="9" t="n">
        <v>260</v>
      </c>
      <c r="BM261" s="9" t="n">
        <v>53</v>
      </c>
      <c r="BN261" s="10" t="n">
        <v>0.4</v>
      </c>
      <c r="BO261" s="10" t="n">
        <v>0.3</v>
      </c>
      <c r="BP261" s="10" t="n">
        <f aca="false">IF(AND(ISNUMBER(BN261),ISNUMBER(BO261)),BN261+BO261,"")</f>
        <v>0.7</v>
      </c>
      <c r="BQ261" s="10" t="n">
        <v>0.2</v>
      </c>
      <c r="BR261" s="10" t="n">
        <v>0.1</v>
      </c>
      <c r="BS261" s="10" t="n">
        <v>0</v>
      </c>
    </row>
    <row r="262" customFormat="false" ht="15" hidden="false" customHeight="false" outlineLevel="0" collapsed="false">
      <c r="A262" s="8" t="s">
        <v>99</v>
      </c>
      <c r="B262" s="8" t="s">
        <v>124</v>
      </c>
      <c r="C262" s="8" t="n">
        <v>7</v>
      </c>
      <c r="D262" s="9" t="n">
        <v>68</v>
      </c>
      <c r="E262" s="9" t="n">
        <v>85</v>
      </c>
      <c r="F262" s="8" t="s">
        <v>92</v>
      </c>
      <c r="G262" s="8" t="s">
        <v>74</v>
      </c>
      <c r="H262" s="10" t="n">
        <v>0</v>
      </c>
      <c r="I262" s="10" t="n">
        <v>0.005</v>
      </c>
      <c r="J262" s="10" t="n">
        <v>0.008</v>
      </c>
      <c r="K262" s="8" t="n">
        <v>0</v>
      </c>
      <c r="L262" s="8" t="n">
        <v>15</v>
      </c>
      <c r="M262" s="10" t="n">
        <v>0.001</v>
      </c>
      <c r="N262" s="8" t="n">
        <v>0</v>
      </c>
      <c r="O262" s="9" t="n">
        <v>1</v>
      </c>
      <c r="P262" s="10" t="n">
        <f aca="false">IF(AND(ISNUMBER(O262),ISNUMBER(D262),D262&gt;0),O262/D262,"")</f>
        <v>0.0147058823529412</v>
      </c>
      <c r="Q262" s="9" t="n">
        <v>4</v>
      </c>
      <c r="R262" s="9" t="n">
        <v>4</v>
      </c>
      <c r="S262" s="9" t="n">
        <v>9</v>
      </c>
      <c r="T262" s="11" t="n">
        <f aca="false">IF(AND(ISNUMBER(S262),ISNUMBER(D262),D262&gt;0),S262/D262,"")</f>
        <v>0.132352941176471</v>
      </c>
      <c r="U262" s="10" t="n">
        <v>0.08</v>
      </c>
      <c r="V262" s="10" t="n">
        <v>0.13</v>
      </c>
      <c r="W262" s="10" t="n">
        <v>0.13</v>
      </c>
      <c r="X262" s="10" t="n">
        <v>0.01</v>
      </c>
      <c r="Y262" s="8" t="n">
        <v>0</v>
      </c>
      <c r="Z262" s="8" t="s">
        <v>77</v>
      </c>
      <c r="AA262" s="8" t="n">
        <v>0</v>
      </c>
      <c r="AB262" s="8" t="n">
        <v>0</v>
      </c>
      <c r="AC262" s="11" t="n">
        <f aca="false">IF(AND(ISNUMBER(AA262),ISNUMBER(D262),D262&gt;0),AA262/D262*100,"")</f>
        <v>0</v>
      </c>
      <c r="AD262" s="12"/>
      <c r="AE262" s="8" t="s">
        <v>74</v>
      </c>
      <c r="AF262" s="8" t="s">
        <v>77</v>
      </c>
      <c r="AG262" s="12" t="n">
        <v>350</v>
      </c>
      <c r="AH262" s="12" t="n">
        <v>431</v>
      </c>
      <c r="AI262" s="12" t="n">
        <v>531</v>
      </c>
      <c r="AJ262" s="12" t="n">
        <v>586</v>
      </c>
      <c r="AK262" s="8" t="n">
        <v>32</v>
      </c>
      <c r="AL262" s="10" t="n">
        <v>1.3</v>
      </c>
      <c r="AM262" s="8" t="s">
        <v>77</v>
      </c>
      <c r="AN262" s="12"/>
      <c r="AO262" s="8" t="s">
        <v>74</v>
      </c>
      <c r="AP262" s="8" t="s">
        <v>74</v>
      </c>
      <c r="AQ262" s="10"/>
      <c r="AR262" s="8" t="n">
        <v>3</v>
      </c>
      <c r="AS262" s="8" t="n">
        <v>0</v>
      </c>
      <c r="AT262" s="8" t="n">
        <v>3</v>
      </c>
      <c r="AU262" s="8" t="n">
        <v>3</v>
      </c>
      <c r="AV262" s="8" t="n">
        <v>4</v>
      </c>
      <c r="AW262" s="8" t="n">
        <v>5</v>
      </c>
      <c r="AX262" s="8" t="n">
        <v>1</v>
      </c>
      <c r="AY262" s="8" t="n">
        <v>2</v>
      </c>
      <c r="AZ262" s="8" t="n">
        <v>5</v>
      </c>
      <c r="BA262" s="8" t="n">
        <v>4</v>
      </c>
      <c r="BB262" s="8" t="n">
        <v>3</v>
      </c>
      <c r="BC262" s="8" t="n">
        <v>5</v>
      </c>
      <c r="BD262" s="8" t="n">
        <v>1</v>
      </c>
      <c r="BE262" s="8" t="n">
        <v>1</v>
      </c>
      <c r="BF262" s="8" t="n">
        <v>3</v>
      </c>
      <c r="BG262" s="8" t="n">
        <v>3</v>
      </c>
      <c r="BH262" s="8" t="n">
        <v>4</v>
      </c>
      <c r="BI262" s="8" t="n">
        <v>3</v>
      </c>
      <c r="BJ262" s="9" t="n">
        <v>1</v>
      </c>
      <c r="BK262" s="9" t="n">
        <v>0</v>
      </c>
      <c r="BL262" s="9" t="n">
        <v>0</v>
      </c>
      <c r="BM262" s="9" t="n">
        <v>0</v>
      </c>
      <c r="BN262" s="10" t="n">
        <v>0</v>
      </c>
      <c r="BO262" s="10" t="n">
        <v>0</v>
      </c>
      <c r="BP262" s="10" t="n">
        <f aca="false">IF(AND(ISNUMBER(BN262),ISNUMBER(BO262)),BN262+BO262,"")</f>
        <v>0</v>
      </c>
      <c r="BQ262" s="10" t="n">
        <v>0</v>
      </c>
      <c r="BR262" s="10" t="n">
        <v>1</v>
      </c>
      <c r="BS262" s="10" t="n">
        <v>0</v>
      </c>
    </row>
    <row r="263" customFormat="false" ht="15" hidden="false" customHeight="false" outlineLevel="0" collapsed="false">
      <c r="A263" s="8" t="s">
        <v>100</v>
      </c>
      <c r="B263" s="8" t="s">
        <v>124</v>
      </c>
      <c r="C263" s="8" t="n">
        <v>7</v>
      </c>
      <c r="D263" s="9" t="n">
        <v>627</v>
      </c>
      <c r="E263" s="9" t="n">
        <v>73</v>
      </c>
      <c r="F263" s="8" t="s">
        <v>81</v>
      </c>
      <c r="G263" s="8" t="s">
        <v>74</v>
      </c>
      <c r="H263" s="10" t="n">
        <v>0</v>
      </c>
      <c r="I263" s="10" t="n">
        <v>0.016</v>
      </c>
      <c r="J263" s="10" t="n">
        <v>0.007</v>
      </c>
      <c r="K263" s="8" t="n">
        <v>0</v>
      </c>
      <c r="L263" s="8" t="n">
        <v>5</v>
      </c>
      <c r="M263" s="10" t="n">
        <v>0.025</v>
      </c>
      <c r="N263" s="8" t="n">
        <v>0</v>
      </c>
      <c r="O263" s="9" t="n">
        <v>35</v>
      </c>
      <c r="P263" s="10" t="n">
        <f aca="false">IF(AND(ISNUMBER(O263),ISNUMBER(D263),D263&gt;0),O263/D263,"")</f>
        <v>0.0558213716108453</v>
      </c>
      <c r="Q263" s="9" t="n">
        <v>114</v>
      </c>
      <c r="R263" s="9"/>
      <c r="S263" s="9" t="n">
        <v>233</v>
      </c>
      <c r="T263" s="11" t="n">
        <f aca="false">IF(AND(ISNUMBER(S263),ISNUMBER(D263),D263&gt;0),S263/D263,"")</f>
        <v>0.371610845295056</v>
      </c>
      <c r="U263" s="10" t="n">
        <v>0.07</v>
      </c>
      <c r="V263" s="10" t="n">
        <v>0.07</v>
      </c>
      <c r="W263" s="10" t="n">
        <v>0.07</v>
      </c>
      <c r="X263" s="10" t="n">
        <v>0.1</v>
      </c>
      <c r="Y263" s="8" t="n">
        <v>0</v>
      </c>
      <c r="Z263" s="8" t="s">
        <v>74</v>
      </c>
      <c r="AA263" s="8" t="n">
        <v>12</v>
      </c>
      <c r="AB263" s="8" t="n">
        <v>0</v>
      </c>
      <c r="AC263" s="11" t="n">
        <f aca="false">IF(AND(ISNUMBER(AA263),ISNUMBER(D263),D263&gt;0),AA263/D263*100,"")</f>
        <v>1.91387559808612</v>
      </c>
      <c r="AD263" s="12" t="n">
        <v>8000</v>
      </c>
      <c r="AE263" s="8" t="s">
        <v>74</v>
      </c>
      <c r="AF263" s="8" t="s">
        <v>77</v>
      </c>
      <c r="AG263" s="12" t="n">
        <v>370.1</v>
      </c>
      <c r="AH263" s="12" t="n">
        <v>445.8</v>
      </c>
      <c r="AI263" s="12" t="n">
        <v>496.28</v>
      </c>
      <c r="AJ263" s="12" t="n">
        <v>529.92</v>
      </c>
      <c r="AK263" s="8" t="n">
        <v>26</v>
      </c>
      <c r="AL263" s="10" t="n">
        <v>0.6</v>
      </c>
      <c r="AM263" s="8" t="s">
        <v>77</v>
      </c>
      <c r="AN263" s="12"/>
      <c r="AO263" s="8" t="s">
        <v>77</v>
      </c>
      <c r="AP263" s="8" t="s">
        <v>74</v>
      </c>
      <c r="AQ263" s="10" t="n">
        <v>0.9</v>
      </c>
      <c r="AR263" s="8" t="n">
        <v>4</v>
      </c>
      <c r="AS263" s="8" t="n">
        <v>2</v>
      </c>
      <c r="AT263" s="8" t="n">
        <v>1</v>
      </c>
      <c r="AU263" s="8" t="n">
        <v>4</v>
      </c>
      <c r="AV263" s="8" t="n">
        <v>1</v>
      </c>
      <c r="AW263" s="8" t="n">
        <v>1</v>
      </c>
      <c r="AX263" s="8" t="n">
        <v>1</v>
      </c>
      <c r="AY263" s="8" t="n">
        <v>2</v>
      </c>
      <c r="AZ263" s="8" t="n">
        <v>2</v>
      </c>
      <c r="BA263" s="8" t="n">
        <v>4</v>
      </c>
      <c r="BB263" s="8" t="n">
        <v>3</v>
      </c>
      <c r="BC263" s="8" t="n">
        <v>3</v>
      </c>
      <c r="BD263" s="8" t="n">
        <v>2</v>
      </c>
      <c r="BE263" s="8" t="n">
        <v>2</v>
      </c>
      <c r="BF263" s="8" t="n">
        <v>1</v>
      </c>
      <c r="BG263" s="8" t="n">
        <v>2</v>
      </c>
      <c r="BH263" s="8" t="n">
        <v>4</v>
      </c>
      <c r="BI263" s="8" t="n">
        <v>3</v>
      </c>
      <c r="BJ263" s="9" t="n">
        <v>12</v>
      </c>
      <c r="BK263" s="9"/>
      <c r="BL263" s="9" t="n">
        <v>12</v>
      </c>
      <c r="BM263" s="9" t="n">
        <v>11</v>
      </c>
      <c r="BN263" s="10" t="n">
        <v>0.7</v>
      </c>
      <c r="BO263" s="10" t="n">
        <v>0.1</v>
      </c>
      <c r="BP263" s="10" t="n">
        <f aca="false">IF(AND(ISNUMBER(BN263),ISNUMBER(BO263)),BN263+BO263,"")</f>
        <v>0.8</v>
      </c>
      <c r="BQ263" s="10" t="n">
        <v>0.2</v>
      </c>
      <c r="BR263" s="10" t="n">
        <v>0</v>
      </c>
      <c r="BS263" s="10" t="n">
        <v>0</v>
      </c>
    </row>
    <row r="264" customFormat="false" ht="15" hidden="false" customHeight="false" outlineLevel="0" collapsed="false">
      <c r="A264" s="8" t="s">
        <v>101</v>
      </c>
      <c r="B264" s="8" t="s">
        <v>124</v>
      </c>
      <c r="C264" s="8" t="n">
        <v>7</v>
      </c>
      <c r="D264" s="9" t="n">
        <v>326</v>
      </c>
      <c r="E264" s="9" t="n">
        <v>156</v>
      </c>
      <c r="F264" s="8" t="s">
        <v>92</v>
      </c>
      <c r="G264" s="8" t="s">
        <v>74</v>
      </c>
      <c r="H264" s="10"/>
      <c r="I264" s="10" t="n">
        <v>0.045</v>
      </c>
      <c r="J264" s="10" t="n">
        <v>0.009</v>
      </c>
      <c r="K264" s="8" t="n">
        <v>0</v>
      </c>
      <c r="L264" s="8" t="n">
        <v>7</v>
      </c>
      <c r="M264" s="10"/>
      <c r="N264" s="8" t="n">
        <v>0</v>
      </c>
      <c r="O264" s="9" t="n">
        <v>46</v>
      </c>
      <c r="P264" s="10" t="n">
        <f aca="false">IF(AND(ISNUMBER(O264),ISNUMBER(D264),D264&gt;0),O264/D264,"")</f>
        <v>0.141104294478528</v>
      </c>
      <c r="Q264" s="9" t="n">
        <v>74</v>
      </c>
      <c r="R264" s="9" t="n">
        <v>74</v>
      </c>
      <c r="S264" s="9" t="n">
        <v>375</v>
      </c>
      <c r="T264" s="11" t="n">
        <f aca="false">IF(AND(ISNUMBER(S264),ISNUMBER(D264),D264&gt;0),S264/D264,"")</f>
        <v>1.15030674846626</v>
      </c>
      <c r="U264" s="10" t="n">
        <v>0.07</v>
      </c>
      <c r="V264" s="10" t="n">
        <v>0.07</v>
      </c>
      <c r="W264" s="10" t="n">
        <v>0.06</v>
      </c>
      <c r="X264" s="10" t="n">
        <v>0.12</v>
      </c>
      <c r="Y264" s="8" t="n">
        <v>0</v>
      </c>
      <c r="Z264" s="8" t="s">
        <v>74</v>
      </c>
      <c r="AA264" s="8" t="n">
        <v>27</v>
      </c>
      <c r="AB264" s="8" t="n">
        <v>0</v>
      </c>
      <c r="AC264" s="11" t="n">
        <f aca="false">IF(AND(ISNUMBER(AA264),ISNUMBER(D264),D264&gt;0),AA264/D264*100,"")</f>
        <v>8.28220858895705</v>
      </c>
      <c r="AD264" s="12" t="n">
        <v>2500</v>
      </c>
      <c r="AE264" s="8" t="s">
        <v>74</v>
      </c>
      <c r="AF264" s="8" t="s">
        <v>77</v>
      </c>
      <c r="AG264" s="12" t="n">
        <v>331.35</v>
      </c>
      <c r="AH264" s="12" t="n">
        <v>357.72</v>
      </c>
      <c r="AI264" s="12" t="n">
        <v>374.64</v>
      </c>
      <c r="AJ264" s="12" t="n">
        <v>453.31</v>
      </c>
      <c r="AK264" s="8" t="n">
        <v>15</v>
      </c>
      <c r="AL264" s="10" t="n">
        <v>0.25</v>
      </c>
      <c r="AM264" s="8" t="s">
        <v>74</v>
      </c>
      <c r="AN264" s="12" t="n">
        <v>62</v>
      </c>
      <c r="AO264" s="8" t="s">
        <v>77</v>
      </c>
      <c r="AP264" s="8" t="s">
        <v>74</v>
      </c>
      <c r="AQ264" s="10" t="n">
        <v>0.97</v>
      </c>
      <c r="AR264" s="8" t="n">
        <v>2</v>
      </c>
      <c r="AS264" s="8" t="n">
        <v>3</v>
      </c>
      <c r="AT264" s="8" t="n">
        <v>3</v>
      </c>
      <c r="AU264" s="8" t="n">
        <v>2</v>
      </c>
      <c r="AV264" s="8" t="n">
        <v>3</v>
      </c>
      <c r="AW264" s="8" t="n">
        <v>3</v>
      </c>
      <c r="AX264" s="8" t="n">
        <v>3</v>
      </c>
      <c r="AY264" s="8" t="n">
        <v>2</v>
      </c>
      <c r="AZ264" s="8" t="n">
        <v>1</v>
      </c>
      <c r="BA264" s="8" t="n">
        <v>2</v>
      </c>
      <c r="BB264" s="8" t="n">
        <v>1</v>
      </c>
      <c r="BC264" s="8" t="n">
        <v>4</v>
      </c>
      <c r="BD264" s="8" t="n">
        <v>3</v>
      </c>
      <c r="BE264" s="8" t="n">
        <v>3</v>
      </c>
      <c r="BF264" s="8" t="n">
        <v>1</v>
      </c>
      <c r="BG264" s="8" t="n">
        <v>1</v>
      </c>
      <c r="BH264" s="8" t="n">
        <v>5</v>
      </c>
      <c r="BI264" s="8" t="n">
        <v>5</v>
      </c>
      <c r="BJ264" s="9" t="n">
        <v>19</v>
      </c>
      <c r="BK264" s="9" t="n">
        <v>15</v>
      </c>
      <c r="BL264" s="9" t="n">
        <v>6</v>
      </c>
      <c r="BM264" s="9" t="n">
        <v>12</v>
      </c>
      <c r="BN264" s="10" t="n">
        <v>0.1</v>
      </c>
      <c r="BO264" s="10" t="n">
        <v>0.8</v>
      </c>
      <c r="BP264" s="10" t="n">
        <f aca="false">IF(AND(ISNUMBER(BN264),ISNUMBER(BO264)),BN264+BO264,"")</f>
        <v>0.9</v>
      </c>
      <c r="BQ264" s="10" t="n">
        <v>0.1</v>
      </c>
      <c r="BR264" s="10" t="n">
        <v>0</v>
      </c>
      <c r="BS264" s="10" t="n">
        <v>0</v>
      </c>
    </row>
    <row r="265" customFormat="false" ht="15" hidden="false" customHeight="false" outlineLevel="0" collapsed="false">
      <c r="A265" s="8" t="s">
        <v>102</v>
      </c>
      <c r="B265" s="8" t="s">
        <v>124</v>
      </c>
      <c r="C265" s="8" t="n">
        <v>7</v>
      </c>
      <c r="D265" s="9" t="n">
        <v>770</v>
      </c>
      <c r="E265" s="9" t="n">
        <v>78</v>
      </c>
      <c r="F265" s="8" t="s">
        <v>92</v>
      </c>
      <c r="G265" s="8" t="s">
        <v>74</v>
      </c>
      <c r="H265" s="10" t="n">
        <v>0.2</v>
      </c>
      <c r="I265" s="10" t="n">
        <v>0.047</v>
      </c>
      <c r="J265" s="10" t="n">
        <v>0.018</v>
      </c>
      <c r="K265" s="8" t="n">
        <v>0</v>
      </c>
      <c r="L265" s="8" t="n">
        <v>5</v>
      </c>
      <c r="M265" s="10" t="n">
        <v>0.01</v>
      </c>
      <c r="N265" s="8" t="n">
        <v>0</v>
      </c>
      <c r="O265" s="9" t="n">
        <v>183</v>
      </c>
      <c r="P265" s="10" t="n">
        <f aca="false">IF(AND(ISNUMBER(O265),ISNUMBER(D265),D265&gt;0),O265/D265,"")</f>
        <v>0.237662337662338</v>
      </c>
      <c r="Q265" s="9" t="n">
        <v>172</v>
      </c>
      <c r="R265" s="9" t="n">
        <v>172</v>
      </c>
      <c r="S265" s="9" t="n">
        <v>1015</v>
      </c>
      <c r="T265" s="11" t="n">
        <f aca="false">IF(AND(ISNUMBER(S265),ISNUMBER(D265),D265&gt;0),S265/D265,"")</f>
        <v>1.31818181818182</v>
      </c>
      <c r="U265" s="10" t="n">
        <v>0.07</v>
      </c>
      <c r="V265" s="10" t="n">
        <v>0.12</v>
      </c>
      <c r="W265" s="10" t="n">
        <v>0.08</v>
      </c>
      <c r="X265" s="10" t="n">
        <v>0.2</v>
      </c>
      <c r="Y265" s="8" t="n">
        <v>1</v>
      </c>
      <c r="Z265" s="8" t="s">
        <v>74</v>
      </c>
      <c r="AA265" s="8" t="n">
        <v>30</v>
      </c>
      <c r="AB265" s="8" t="n">
        <v>0</v>
      </c>
      <c r="AC265" s="11" t="n">
        <f aca="false">IF(AND(ISNUMBER(AA265),ISNUMBER(D265),D265&gt;0),AA265/D265*100,"")</f>
        <v>3.8961038961039</v>
      </c>
      <c r="AD265" s="12" t="n">
        <v>1333</v>
      </c>
      <c r="AE265" s="8" t="s">
        <v>74</v>
      </c>
      <c r="AF265" s="8" t="s">
        <v>77</v>
      </c>
      <c r="AG265" s="12" t="n">
        <v>354.68</v>
      </c>
      <c r="AH265" s="12" t="n">
        <v>562.4</v>
      </c>
      <c r="AI265" s="12" t="n">
        <v>582.8</v>
      </c>
      <c r="AJ265" s="12" t="n">
        <v>776.4</v>
      </c>
      <c r="AK265" s="8" t="n">
        <v>20</v>
      </c>
      <c r="AL265" s="10" t="n">
        <v>0.5</v>
      </c>
      <c r="AM265" s="8" t="s">
        <v>77</v>
      </c>
      <c r="AN265" s="12"/>
      <c r="AO265" s="8" t="s">
        <v>77</v>
      </c>
      <c r="AP265" s="8" t="s">
        <v>74</v>
      </c>
      <c r="AQ265" s="10" t="n">
        <v>0.95</v>
      </c>
      <c r="AR265" s="8" t="n">
        <v>3</v>
      </c>
      <c r="AS265" s="8" t="n">
        <v>1</v>
      </c>
      <c r="AT265" s="8" t="n">
        <v>2</v>
      </c>
      <c r="AU265" s="8" t="n">
        <v>2</v>
      </c>
      <c r="AV265" s="8" t="n">
        <v>3</v>
      </c>
      <c r="AW265" s="8" t="n">
        <v>4</v>
      </c>
      <c r="AX265" s="8" t="n">
        <v>0</v>
      </c>
      <c r="AY265" s="8" t="n">
        <v>1</v>
      </c>
      <c r="AZ265" s="8" t="n">
        <v>3</v>
      </c>
      <c r="BA265" s="8" t="n">
        <v>3</v>
      </c>
      <c r="BB265" s="8" t="n">
        <v>2</v>
      </c>
      <c r="BC265" s="8" t="n">
        <v>3</v>
      </c>
      <c r="BD265" s="8" t="n">
        <v>1</v>
      </c>
      <c r="BE265" s="8" t="n">
        <v>1</v>
      </c>
      <c r="BF265" s="8" t="n">
        <v>1</v>
      </c>
      <c r="BG265" s="8" t="n">
        <v>1</v>
      </c>
      <c r="BH265" s="8" t="n">
        <v>3</v>
      </c>
      <c r="BI265" s="8" t="n">
        <v>3</v>
      </c>
      <c r="BJ265" s="9" t="n">
        <v>21</v>
      </c>
      <c r="BK265" s="9" t="n">
        <v>102</v>
      </c>
      <c r="BL265" s="9" t="n">
        <v>29</v>
      </c>
      <c r="BM265" s="9" t="n">
        <v>38</v>
      </c>
      <c r="BN265" s="10" t="n">
        <v>0.5</v>
      </c>
      <c r="BO265" s="10" t="n">
        <v>0.3</v>
      </c>
      <c r="BP265" s="10" t="n">
        <f aca="false">IF(AND(ISNUMBER(BN265),ISNUMBER(BO265)),BN265+BO265,"")</f>
        <v>0.8</v>
      </c>
      <c r="BQ265" s="10" t="n">
        <v>0.1</v>
      </c>
      <c r="BR265" s="10" t="n">
        <v>0.1</v>
      </c>
      <c r="BS265" s="10" t="n">
        <v>0</v>
      </c>
    </row>
    <row r="266" customFormat="false" ht="15" hidden="false" customHeight="false" outlineLevel="0" collapsed="false">
      <c r="A266" s="8" t="s">
        <v>103</v>
      </c>
      <c r="B266" s="8" t="s">
        <v>124</v>
      </c>
      <c r="C266" s="8" t="n">
        <v>7</v>
      </c>
      <c r="D266" s="9" t="n">
        <v>494</v>
      </c>
      <c r="E266" s="9" t="n">
        <v>87</v>
      </c>
      <c r="F266" s="8" t="s">
        <v>92</v>
      </c>
      <c r="G266" s="8" t="s">
        <v>74</v>
      </c>
      <c r="H266" s="10" t="n">
        <v>0</v>
      </c>
      <c r="I266" s="10" t="n">
        <v>0.024</v>
      </c>
      <c r="J266" s="10" t="n">
        <v>0.05</v>
      </c>
      <c r="K266" s="8" t="n">
        <v>0</v>
      </c>
      <c r="L266" s="8" t="n">
        <v>2</v>
      </c>
      <c r="M266" s="10" t="n">
        <v>0.024</v>
      </c>
      <c r="N266" s="8" t="n">
        <v>0</v>
      </c>
      <c r="O266" s="9" t="n">
        <v>28</v>
      </c>
      <c r="P266" s="10" t="n">
        <f aca="false">IF(AND(ISNUMBER(O266),ISNUMBER(D266),D266&gt;0),O266/D266,"")</f>
        <v>0.0566801619433198</v>
      </c>
      <c r="Q266" s="9" t="n">
        <v>19</v>
      </c>
      <c r="R266" s="9" t="n">
        <v>19</v>
      </c>
      <c r="S266" s="9" t="n">
        <v>616</v>
      </c>
      <c r="T266" s="11" t="n">
        <f aca="false">IF(AND(ISNUMBER(S266),ISNUMBER(D266),D266&gt;0),S266/D266,"")</f>
        <v>1.24696356275304</v>
      </c>
      <c r="U266" s="10" t="n">
        <v>0.071</v>
      </c>
      <c r="V266" s="10" t="n">
        <v>0.1</v>
      </c>
      <c r="W266" s="10" t="n">
        <v>0.085</v>
      </c>
      <c r="X266" s="10" t="n">
        <v>0.07</v>
      </c>
      <c r="Y266" s="8" t="n">
        <v>0</v>
      </c>
      <c r="Z266" s="8" t="s">
        <v>74</v>
      </c>
      <c r="AA266" s="8" t="n">
        <v>15</v>
      </c>
      <c r="AB266" s="8" t="n">
        <v>0</v>
      </c>
      <c r="AC266" s="11" t="n">
        <f aca="false">IF(AND(ISNUMBER(AA266),ISNUMBER(D266),D266&gt;0),AA266/D266*100,"")</f>
        <v>3.03643724696356</v>
      </c>
      <c r="AD266" s="12" t="n">
        <v>998</v>
      </c>
      <c r="AE266" s="8"/>
      <c r="AF266" s="8" t="s">
        <v>77</v>
      </c>
      <c r="AG266" s="12" t="n">
        <v>332</v>
      </c>
      <c r="AH266" s="12" t="n">
        <v>359</v>
      </c>
      <c r="AI266" s="12" t="n">
        <v>403</v>
      </c>
      <c r="AJ266" s="12" t="n">
        <v>432</v>
      </c>
      <c r="AK266" s="8" t="n">
        <v>23</v>
      </c>
      <c r="AL266" s="10" t="n">
        <v>0.3</v>
      </c>
      <c r="AM266" s="8" t="s">
        <v>74</v>
      </c>
      <c r="AN266" s="12" t="n">
        <v>28</v>
      </c>
      <c r="AO266" s="8" t="s">
        <v>77</v>
      </c>
      <c r="AP266" s="8" t="s">
        <v>74</v>
      </c>
      <c r="AQ266" s="10" t="n">
        <v>0.83</v>
      </c>
      <c r="AR266" s="8" t="n">
        <v>2</v>
      </c>
      <c r="AS266" s="8" t="n">
        <v>2</v>
      </c>
      <c r="AT266" s="8" t="n">
        <v>0</v>
      </c>
      <c r="AU266" s="8" t="n">
        <v>1</v>
      </c>
      <c r="AV266" s="8" t="n">
        <v>0</v>
      </c>
      <c r="AW266" s="8" t="n">
        <v>0</v>
      </c>
      <c r="AX266" s="8" t="n">
        <v>1</v>
      </c>
      <c r="AY266" s="8" t="n">
        <v>1</v>
      </c>
      <c r="AZ266" s="8" t="n">
        <v>1</v>
      </c>
      <c r="BA266" s="8" t="n">
        <v>1</v>
      </c>
      <c r="BB266" s="8" t="n">
        <v>1</v>
      </c>
      <c r="BC266" s="8" t="n">
        <v>1</v>
      </c>
      <c r="BD266" s="8" t="n">
        <v>2</v>
      </c>
      <c r="BE266" s="8" t="n">
        <v>1</v>
      </c>
      <c r="BF266" s="8" t="n">
        <v>0</v>
      </c>
      <c r="BG266" s="8" t="n">
        <v>1</v>
      </c>
      <c r="BH266" s="8" t="n">
        <v>3</v>
      </c>
      <c r="BI266" s="8" t="n">
        <v>3</v>
      </c>
      <c r="BJ266" s="9" t="n">
        <v>20</v>
      </c>
      <c r="BK266" s="9" t="n">
        <v>13</v>
      </c>
      <c r="BL266" s="9"/>
      <c r="BM266" s="9" t="n">
        <v>0</v>
      </c>
      <c r="BN266" s="10" t="n">
        <v>0.3</v>
      </c>
      <c r="BO266" s="10" t="n">
        <v>0.3</v>
      </c>
      <c r="BP266" s="10" t="n">
        <f aca="false">IF(AND(ISNUMBER(BN266),ISNUMBER(BO266)),BN266+BO266,"")</f>
        <v>0.6</v>
      </c>
      <c r="BQ266" s="10" t="n">
        <v>0.2</v>
      </c>
      <c r="BR266" s="10" t="n">
        <v>0.1</v>
      </c>
      <c r="BS266" s="10" t="n">
        <v>0.1</v>
      </c>
    </row>
    <row r="267" customFormat="false" ht="15" hidden="false" customHeight="false" outlineLevel="0" collapsed="false">
      <c r="A267" s="8" t="s">
        <v>104</v>
      </c>
      <c r="B267" s="8" t="s">
        <v>124</v>
      </c>
      <c r="C267" s="8" t="n">
        <v>7</v>
      </c>
      <c r="D267" s="9" t="n">
        <v>439</v>
      </c>
      <c r="E267" s="9" t="n">
        <v>35</v>
      </c>
      <c r="F267" s="8" t="s">
        <v>76</v>
      </c>
      <c r="G267" s="8" t="s">
        <v>74</v>
      </c>
      <c r="H267" s="10"/>
      <c r="I267" s="10" t="n">
        <v>0.012</v>
      </c>
      <c r="J267" s="10" t="n">
        <v>0.1</v>
      </c>
      <c r="K267" s="8" t="n">
        <v>0</v>
      </c>
      <c r="L267" s="8"/>
      <c r="M267" s="10" t="n">
        <v>0.1</v>
      </c>
      <c r="N267" s="8" t="n">
        <v>0</v>
      </c>
      <c r="O267" s="9" t="n">
        <v>120</v>
      </c>
      <c r="P267" s="10" t="n">
        <f aca="false">IF(AND(ISNUMBER(O267),ISNUMBER(D267),D267&gt;0),O267/D267,"")</f>
        <v>0.273348519362187</v>
      </c>
      <c r="Q267" s="9"/>
      <c r="R267" s="9" t="n">
        <v>90</v>
      </c>
      <c r="S267" s="9" t="n">
        <v>134</v>
      </c>
      <c r="T267" s="11" t="n">
        <f aca="false">IF(AND(ISNUMBER(S267),ISNUMBER(D267),D267&gt;0),S267/D267,"")</f>
        <v>0.305239179954442</v>
      </c>
      <c r="U267" s="10" t="n">
        <v>0.06</v>
      </c>
      <c r="V267" s="10" t="n">
        <v>0.105</v>
      </c>
      <c r="W267" s="10" t="n">
        <v>0.12</v>
      </c>
      <c r="X267" s="10" t="n">
        <v>0.005</v>
      </c>
      <c r="Y267" s="8" t="n">
        <v>1</v>
      </c>
      <c r="Z267" s="8" t="s">
        <v>77</v>
      </c>
      <c r="AA267" s="8" t="n">
        <v>0</v>
      </c>
      <c r="AB267" s="8" t="n">
        <v>0</v>
      </c>
      <c r="AC267" s="11" t="n">
        <f aca="false">IF(AND(ISNUMBER(AA267),ISNUMBER(D267),D267&gt;0),AA267/D267*100,"")</f>
        <v>0</v>
      </c>
      <c r="AD267" s="12"/>
      <c r="AE267" s="8" t="s">
        <v>77</v>
      </c>
      <c r="AF267" s="8" t="s">
        <v>74</v>
      </c>
      <c r="AG267" s="12" t="n">
        <v>226</v>
      </c>
      <c r="AH267" s="12" t="n">
        <v>248.5</v>
      </c>
      <c r="AI267" s="12" t="n">
        <v>282</v>
      </c>
      <c r="AJ267" s="12" t="n">
        <v>423.5</v>
      </c>
      <c r="AK267" s="8" t="n">
        <v>32</v>
      </c>
      <c r="AL267" s="10" t="n">
        <v>0.5</v>
      </c>
      <c r="AM267" s="8" t="s">
        <v>77</v>
      </c>
      <c r="AN267" s="12"/>
      <c r="AO267" s="8" t="s">
        <v>77</v>
      </c>
      <c r="AP267" s="8" t="s">
        <v>74</v>
      </c>
      <c r="AQ267" s="10"/>
      <c r="AR267" s="8" t="n">
        <v>1</v>
      </c>
      <c r="AS267" s="8" t="n">
        <v>1</v>
      </c>
      <c r="AT267" s="8" t="n">
        <v>2</v>
      </c>
      <c r="AU267" s="8" t="n">
        <v>3</v>
      </c>
      <c r="AV267" s="8" t="n">
        <v>1</v>
      </c>
      <c r="AW267" s="8" t="n">
        <v>1</v>
      </c>
      <c r="AX267" s="8" t="n">
        <v>2</v>
      </c>
      <c r="AY267" s="8" t="n">
        <v>1</v>
      </c>
      <c r="AZ267" s="8" t="n">
        <v>1</v>
      </c>
      <c r="BA267" s="8" t="n">
        <v>1</v>
      </c>
      <c r="BB267" s="8" t="n">
        <v>3</v>
      </c>
      <c r="BC267" s="8" t="n">
        <v>3</v>
      </c>
      <c r="BD267" s="8" t="n">
        <v>1</v>
      </c>
      <c r="BE267" s="8" t="n">
        <v>1</v>
      </c>
      <c r="BF267" s="8" t="n">
        <v>0</v>
      </c>
      <c r="BG267" s="8" t="n">
        <v>0</v>
      </c>
      <c r="BH267" s="8" t="n">
        <v>4</v>
      </c>
      <c r="BI267" s="8" t="n">
        <v>5</v>
      </c>
      <c r="BJ267" s="9" t="n">
        <v>48</v>
      </c>
      <c r="BK267" s="9" t="n">
        <v>57</v>
      </c>
      <c r="BL267" s="9" t="n">
        <v>10</v>
      </c>
      <c r="BM267" s="9" t="n">
        <v>2</v>
      </c>
      <c r="BN267" s="10" t="n">
        <v>0.4</v>
      </c>
      <c r="BO267" s="10" t="n">
        <v>0.3</v>
      </c>
      <c r="BP267" s="10" t="n">
        <f aca="false">IF(AND(ISNUMBER(BN267),ISNUMBER(BO267)),BN267+BO267,"")</f>
        <v>0.7</v>
      </c>
      <c r="BQ267" s="10" t="n">
        <v>0.2</v>
      </c>
      <c r="BR267" s="10" t="n">
        <v>0.1</v>
      </c>
      <c r="BS267" s="10" t="n">
        <v>0</v>
      </c>
    </row>
    <row r="268" customFormat="false" ht="15" hidden="false" customHeight="false" outlineLevel="0" collapsed="false">
      <c r="A268" s="8" t="s">
        <v>105</v>
      </c>
      <c r="B268" s="8" t="s">
        <v>124</v>
      </c>
      <c r="C268" s="8" t="n">
        <v>7</v>
      </c>
      <c r="D268" s="9" t="n">
        <v>0</v>
      </c>
      <c r="E268" s="9" t="n">
        <v>12</v>
      </c>
      <c r="F268" s="8" t="s">
        <v>94</v>
      </c>
      <c r="G268" s="8" t="s">
        <v>77</v>
      </c>
      <c r="H268" s="10"/>
      <c r="I268" s="10" t="n">
        <v>0.001</v>
      </c>
      <c r="J268" s="10"/>
      <c r="K268" s="8" t="n">
        <v>0</v>
      </c>
      <c r="L268" s="8"/>
      <c r="M268" s="10" t="n">
        <v>0.001</v>
      </c>
      <c r="N268" s="8" t="n">
        <v>0</v>
      </c>
      <c r="O268" s="9" t="n">
        <v>0</v>
      </c>
      <c r="P268" s="10" t="str">
        <f aca="false">IF(AND(ISNUMBER(O268),ISNUMBER(D268),D268&gt;0),O268/D268,"")</f>
        <v/>
      </c>
      <c r="Q268" s="9" t="n">
        <v>0</v>
      </c>
      <c r="R268" s="9" t="n">
        <v>0</v>
      </c>
      <c r="S268" s="9" t="n">
        <v>0</v>
      </c>
      <c r="T268" s="11" t="str">
        <f aca="false">IF(AND(ISNUMBER(S268),ISNUMBER(D268),D268&gt;0),S268/D268,"")</f>
        <v/>
      </c>
      <c r="U268" s="10"/>
      <c r="V268" s="10"/>
      <c r="W268" s="10"/>
      <c r="X268" s="10"/>
      <c r="Y268" s="8" t="n">
        <v>0</v>
      </c>
      <c r="Z268" s="8" t="s">
        <v>77</v>
      </c>
      <c r="AA268" s="8" t="n">
        <v>0</v>
      </c>
      <c r="AB268" s="8" t="n">
        <v>0</v>
      </c>
      <c r="AC268" s="11" t="str">
        <f aca="false">IF(AND(ISNUMBER(AA268),ISNUMBER(D268),D268&gt;0),AA268/D268*100,"")</f>
        <v/>
      </c>
      <c r="AD268" s="12"/>
      <c r="AE268" s="8"/>
      <c r="AF268" s="8" t="s">
        <v>77</v>
      </c>
      <c r="AG268" s="12" t="n">
        <v>633.33</v>
      </c>
      <c r="AH268" s="12" t="n">
        <v>766.66</v>
      </c>
      <c r="AI268" s="12" t="n">
        <v>850</v>
      </c>
      <c r="AJ268" s="12" t="n">
        <v>900</v>
      </c>
      <c r="AK268" s="8"/>
      <c r="AL268" s="10"/>
      <c r="AM268" s="8" t="s">
        <v>77</v>
      </c>
      <c r="AN268" s="12"/>
      <c r="AO268" s="8" t="s">
        <v>77</v>
      </c>
      <c r="AP268" s="8"/>
      <c r="AQ268" s="10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9" t="n">
        <v>0</v>
      </c>
      <c r="BK268" s="9" t="n">
        <v>0</v>
      </c>
      <c r="BL268" s="9" t="n">
        <v>0</v>
      </c>
      <c r="BM268" s="9" t="n">
        <v>0</v>
      </c>
      <c r="BN268" s="10"/>
      <c r="BO268" s="10"/>
      <c r="BP268" s="10" t="str">
        <f aca="false">IF(AND(ISNUMBER(BN268),ISNUMBER(BO268)),BN268+BO268,"")</f>
        <v/>
      </c>
      <c r="BQ268" s="10"/>
      <c r="BR268" s="10"/>
      <c r="BS268" s="10"/>
    </row>
    <row r="269" customFormat="false" ht="15" hidden="false" customHeight="false" outlineLevel="0" collapsed="false">
      <c r="A269" s="8" t="s">
        <v>106</v>
      </c>
      <c r="B269" s="8" t="s">
        <v>124</v>
      </c>
      <c r="C269" s="8" t="n">
        <v>7</v>
      </c>
      <c r="D269" s="9" t="n">
        <v>1540</v>
      </c>
      <c r="E269" s="9" t="n">
        <v>446</v>
      </c>
      <c r="F269" s="8" t="s">
        <v>81</v>
      </c>
      <c r="G269" s="8" t="s">
        <v>74</v>
      </c>
      <c r="H269" s="10"/>
      <c r="I269" s="10" t="n">
        <v>0.045</v>
      </c>
      <c r="J269" s="10" t="n">
        <v>0.026</v>
      </c>
      <c r="K269" s="8" t="n">
        <v>0</v>
      </c>
      <c r="L269" s="8" t="n">
        <v>5</v>
      </c>
      <c r="M269" s="10" t="n">
        <v>0.051</v>
      </c>
      <c r="N269" s="8" t="n">
        <v>0</v>
      </c>
      <c r="O269" s="9" t="n">
        <v>140</v>
      </c>
      <c r="P269" s="10" t="n">
        <f aca="false">IF(AND(ISNUMBER(O269),ISNUMBER(D269),D269&gt;0),O269/D269,"")</f>
        <v>0.0909090909090909</v>
      </c>
      <c r="Q269" s="9"/>
      <c r="R269" s="9" t="n">
        <v>75</v>
      </c>
      <c r="S269" s="9" t="n">
        <v>2343</v>
      </c>
      <c r="T269" s="11" t="n">
        <f aca="false">IF(AND(ISNUMBER(S269),ISNUMBER(D269),D269&gt;0),S269/D269,"")</f>
        <v>1.52142857142857</v>
      </c>
      <c r="U269" s="10" t="n">
        <v>0.08</v>
      </c>
      <c r="V269" s="10" t="n">
        <v>0.1</v>
      </c>
      <c r="W269" s="10" t="n">
        <v>0.08</v>
      </c>
      <c r="X269" s="10"/>
      <c r="Y269" s="8" t="n">
        <v>0</v>
      </c>
      <c r="Z269" s="8" t="s">
        <v>74</v>
      </c>
      <c r="AA269" s="8" t="n">
        <v>9</v>
      </c>
      <c r="AB269" s="8" t="n">
        <v>0</v>
      </c>
      <c r="AC269" s="11" t="n">
        <f aca="false">IF(AND(ISNUMBER(AA269),ISNUMBER(D269),D269&gt;0),AA269/D269*100,"")</f>
        <v>0.584415584415584</v>
      </c>
      <c r="AD269" s="12" t="n">
        <v>1500</v>
      </c>
      <c r="AE269" s="8" t="s">
        <v>77</v>
      </c>
      <c r="AF269" s="8" t="s">
        <v>74</v>
      </c>
      <c r="AG269" s="12" t="n">
        <v>378</v>
      </c>
      <c r="AH269" s="12" t="n">
        <v>455</v>
      </c>
      <c r="AI269" s="12" t="n">
        <v>575</v>
      </c>
      <c r="AJ269" s="12" t="n">
        <v>818</v>
      </c>
      <c r="AK269" s="8" t="n">
        <v>22</v>
      </c>
      <c r="AL269" s="10" t="n">
        <v>0.5</v>
      </c>
      <c r="AM269" s="8" t="s">
        <v>77</v>
      </c>
      <c r="AN269" s="12"/>
      <c r="AO269" s="8" t="s">
        <v>77</v>
      </c>
      <c r="AP269" s="8" t="s">
        <v>74</v>
      </c>
      <c r="AQ269" s="10" t="n">
        <v>0.85</v>
      </c>
      <c r="AR269" s="8" t="n">
        <v>3</v>
      </c>
      <c r="AS269" s="8" t="n">
        <v>3</v>
      </c>
      <c r="AT269" s="8" t="n">
        <v>3</v>
      </c>
      <c r="AU269" s="8" t="n">
        <v>3</v>
      </c>
      <c r="AV269" s="8" t="n">
        <v>2</v>
      </c>
      <c r="AW269" s="8" t="n">
        <v>0</v>
      </c>
      <c r="AX269" s="8" t="n">
        <v>3</v>
      </c>
      <c r="AY269" s="8" t="n">
        <v>4</v>
      </c>
      <c r="AZ269" s="8" t="n">
        <v>2</v>
      </c>
      <c r="BA269" s="8" t="n">
        <v>2</v>
      </c>
      <c r="BB269" s="8" t="n">
        <v>2</v>
      </c>
      <c r="BC269" s="8" t="n">
        <v>4</v>
      </c>
      <c r="BD269" s="8" t="n">
        <v>0</v>
      </c>
      <c r="BE269" s="8" t="n">
        <v>0</v>
      </c>
      <c r="BF269" s="8" t="n">
        <v>2</v>
      </c>
      <c r="BG269" s="8" t="n">
        <v>2</v>
      </c>
      <c r="BH269" s="8" t="n">
        <v>2</v>
      </c>
      <c r="BI269" s="8" t="n">
        <v>4</v>
      </c>
      <c r="BJ269" s="9" t="n">
        <v>68</v>
      </c>
      <c r="BK269" s="9" t="n">
        <v>48</v>
      </c>
      <c r="BL269" s="9" t="n">
        <v>0</v>
      </c>
      <c r="BM269" s="9" t="n">
        <v>38</v>
      </c>
      <c r="BN269" s="10" t="n">
        <v>0.6</v>
      </c>
      <c r="BO269" s="10" t="n">
        <v>0.2</v>
      </c>
      <c r="BP269" s="10" t="n">
        <f aca="false">IF(AND(ISNUMBER(BN269),ISNUMBER(BO269)),BN269+BO269,"")</f>
        <v>0.8</v>
      </c>
      <c r="BQ269" s="10" t="n">
        <v>0.1</v>
      </c>
      <c r="BR269" s="10" t="n">
        <v>0</v>
      </c>
      <c r="BS269" s="10" t="n">
        <v>0.1</v>
      </c>
    </row>
    <row r="270" customFormat="false" ht="15" hidden="false" customHeight="false" outlineLevel="0" collapsed="false">
      <c r="A270" s="8" t="s">
        <v>107</v>
      </c>
      <c r="B270" s="8" t="s">
        <v>124</v>
      </c>
      <c r="C270" s="8" t="n">
        <v>7</v>
      </c>
      <c r="D270" s="9" t="n">
        <v>824</v>
      </c>
      <c r="E270" s="9" t="n">
        <v>281</v>
      </c>
      <c r="F270" s="8" t="s">
        <v>73</v>
      </c>
      <c r="G270" s="8" t="s">
        <v>74</v>
      </c>
      <c r="H270" s="10" t="n">
        <v>0.8</v>
      </c>
      <c r="I270" s="10" t="n">
        <v>0.055</v>
      </c>
      <c r="J270" s="10" t="n">
        <v>0.15</v>
      </c>
      <c r="K270" s="8" t="n">
        <v>1</v>
      </c>
      <c r="L270" s="8" t="n">
        <v>7</v>
      </c>
      <c r="M270" s="10" t="n">
        <v>0.04</v>
      </c>
      <c r="N270" s="8" t="n">
        <v>0</v>
      </c>
      <c r="O270" s="9" t="n">
        <v>114</v>
      </c>
      <c r="P270" s="10" t="n">
        <f aca="false">IF(AND(ISNUMBER(O270),ISNUMBER(D270),D270&gt;0),O270/D270,"")</f>
        <v>0.138349514563107</v>
      </c>
      <c r="Q270" s="9" t="n">
        <v>172</v>
      </c>
      <c r="R270" s="9" t="n">
        <v>106</v>
      </c>
      <c r="S270" s="9" t="n">
        <v>419</v>
      </c>
      <c r="T270" s="11" t="n">
        <f aca="false">IF(AND(ISNUMBER(S270),ISNUMBER(D270),D270&gt;0),S270/D270,"")</f>
        <v>0.508495145631068</v>
      </c>
      <c r="U270" s="10" t="n">
        <v>0.07</v>
      </c>
      <c r="V270" s="10" t="n">
        <v>0.1</v>
      </c>
      <c r="W270" s="10" t="n">
        <v>0.07</v>
      </c>
      <c r="X270" s="10" t="n">
        <v>0.13</v>
      </c>
      <c r="Y270" s="8" t="n">
        <v>0</v>
      </c>
      <c r="Z270" s="8" t="s">
        <v>74</v>
      </c>
      <c r="AA270" s="8" t="n">
        <v>11</v>
      </c>
      <c r="AB270" s="8" t="n">
        <v>0</v>
      </c>
      <c r="AC270" s="11" t="n">
        <f aca="false">IF(AND(ISNUMBER(AA270),ISNUMBER(D270),D270&gt;0),AA270/D270*100,"")</f>
        <v>1.33495145631068</v>
      </c>
      <c r="AD270" s="12" t="n">
        <v>1700</v>
      </c>
      <c r="AE270" s="8" t="s">
        <v>74</v>
      </c>
      <c r="AF270" s="8" t="s">
        <v>77</v>
      </c>
      <c r="AG270" s="12" t="n">
        <v>310.57</v>
      </c>
      <c r="AH270" s="12" t="n">
        <v>350.69</v>
      </c>
      <c r="AI270" s="12" t="n">
        <v>463.79</v>
      </c>
      <c r="AJ270" s="12" t="n">
        <v>680.09</v>
      </c>
      <c r="AK270" s="8" t="n">
        <v>28</v>
      </c>
      <c r="AL270" s="10" t="n">
        <v>0.4</v>
      </c>
      <c r="AM270" s="8" t="s">
        <v>74</v>
      </c>
      <c r="AN270" s="12" t="n">
        <v>22</v>
      </c>
      <c r="AO270" s="8" t="s">
        <v>74</v>
      </c>
      <c r="AP270" s="8" t="s">
        <v>74</v>
      </c>
      <c r="AQ270" s="10" t="n">
        <v>0.98</v>
      </c>
      <c r="AR270" s="8" t="n">
        <v>3</v>
      </c>
      <c r="AS270" s="8" t="n">
        <v>2</v>
      </c>
      <c r="AT270" s="8" t="n">
        <v>1</v>
      </c>
      <c r="AU270" s="8" t="n">
        <v>1</v>
      </c>
      <c r="AV270" s="8" t="n">
        <v>1</v>
      </c>
      <c r="AW270" s="8" t="n">
        <v>0</v>
      </c>
      <c r="AX270" s="8" t="n">
        <v>1</v>
      </c>
      <c r="AY270" s="8" t="n">
        <v>2</v>
      </c>
      <c r="AZ270" s="8" t="n">
        <v>2</v>
      </c>
      <c r="BA270" s="8" t="n">
        <v>2</v>
      </c>
      <c r="BB270" s="8" t="n">
        <v>1</v>
      </c>
      <c r="BC270" s="8" t="n">
        <v>3</v>
      </c>
      <c r="BD270" s="8" t="n">
        <v>1</v>
      </c>
      <c r="BE270" s="8" t="n">
        <v>1</v>
      </c>
      <c r="BF270" s="8" t="n">
        <v>1</v>
      </c>
      <c r="BG270" s="8" t="n">
        <v>1</v>
      </c>
      <c r="BH270" s="8" t="n">
        <v>3</v>
      </c>
      <c r="BI270" s="8" t="n">
        <v>0</v>
      </c>
      <c r="BJ270" s="9" t="n">
        <v>63</v>
      </c>
      <c r="BK270" s="9" t="n">
        <v>30</v>
      </c>
      <c r="BL270" s="9"/>
      <c r="BM270" s="9" t="n">
        <v>24</v>
      </c>
      <c r="BN270" s="10" t="n">
        <v>0.1</v>
      </c>
      <c r="BO270" s="10" t="n">
        <v>0.2</v>
      </c>
      <c r="BP270" s="10" t="n">
        <f aca="false">IF(AND(ISNUMBER(BN270),ISNUMBER(BO270)),BN270+BO270,"")</f>
        <v>0.3</v>
      </c>
      <c r="BQ270" s="10" t="n">
        <v>0</v>
      </c>
      <c r="BR270" s="10" t="n">
        <v>0.6</v>
      </c>
      <c r="BS270" s="10" t="n">
        <v>0.1</v>
      </c>
    </row>
    <row r="271" customFormat="false" ht="15" hidden="false" customHeight="false" outlineLevel="0" collapsed="false">
      <c r="A271" s="8" t="s">
        <v>108</v>
      </c>
      <c r="B271" s="8" t="s">
        <v>124</v>
      </c>
      <c r="C271" s="8" t="n">
        <v>7</v>
      </c>
      <c r="D271" s="9" t="n">
        <v>181</v>
      </c>
      <c r="E271" s="9" t="n">
        <v>50</v>
      </c>
      <c r="F271" s="8" t="s">
        <v>73</v>
      </c>
      <c r="G271" s="8" t="s">
        <v>77</v>
      </c>
      <c r="H271" s="10" t="n">
        <v>0.6</v>
      </c>
      <c r="I271" s="10" t="n">
        <v>0.033</v>
      </c>
      <c r="J271" s="10" t="n">
        <v>0.032</v>
      </c>
      <c r="K271" s="8" t="n">
        <v>0</v>
      </c>
      <c r="L271" s="8" t="n">
        <v>7</v>
      </c>
      <c r="M271" s="10" t="n">
        <v>0.021</v>
      </c>
      <c r="N271" s="8" t="n">
        <v>0</v>
      </c>
      <c r="O271" s="9" t="n">
        <v>34</v>
      </c>
      <c r="P271" s="10" t="n">
        <f aca="false">IF(AND(ISNUMBER(O271),ISNUMBER(D271),D271&gt;0),O271/D271,"")</f>
        <v>0.187845303867403</v>
      </c>
      <c r="Q271" s="9" t="n">
        <v>50</v>
      </c>
      <c r="R271" s="9" t="n">
        <v>35</v>
      </c>
      <c r="S271" s="9" t="n">
        <v>236</v>
      </c>
      <c r="T271" s="11" t="n">
        <f aca="false">IF(AND(ISNUMBER(S271),ISNUMBER(D271),D271&gt;0),S271/D271,"")</f>
        <v>1.30386740331492</v>
      </c>
      <c r="U271" s="10" t="n">
        <v>0.08</v>
      </c>
      <c r="V271" s="10" t="n">
        <v>0.1</v>
      </c>
      <c r="W271" s="10" t="n">
        <v>0.1</v>
      </c>
      <c r="X271" s="10" t="n">
        <v>0.05</v>
      </c>
      <c r="Y271" s="8" t="n">
        <v>0</v>
      </c>
      <c r="Z271" s="8" t="s">
        <v>74</v>
      </c>
      <c r="AA271" s="8" t="n">
        <v>2</v>
      </c>
      <c r="AB271" s="8" t="n">
        <v>0</v>
      </c>
      <c r="AC271" s="11" t="n">
        <f aca="false">IF(AND(ISNUMBER(AA271),ISNUMBER(D271),D271&gt;0),AA271/D271*100,"")</f>
        <v>1.10497237569061</v>
      </c>
      <c r="AD271" s="12" t="n">
        <v>1200</v>
      </c>
      <c r="AE271" s="8" t="s">
        <v>77</v>
      </c>
      <c r="AF271" s="8" t="s">
        <v>74</v>
      </c>
      <c r="AG271" s="12" t="n">
        <v>304</v>
      </c>
      <c r="AH271" s="12" t="n">
        <v>320.76</v>
      </c>
      <c r="AI271" s="12" t="n">
        <v>388.12</v>
      </c>
      <c r="AJ271" s="12" t="n">
        <v>575</v>
      </c>
      <c r="AK271" s="8" t="n">
        <v>20</v>
      </c>
      <c r="AL271" s="10" t="n">
        <v>0.25</v>
      </c>
      <c r="AM271" s="8" t="s">
        <v>77</v>
      </c>
      <c r="AN271" s="12"/>
      <c r="AO271" s="8" t="s">
        <v>77</v>
      </c>
      <c r="AP271" s="8" t="s">
        <v>77</v>
      </c>
      <c r="AQ271" s="10" t="n">
        <v>0.8</v>
      </c>
      <c r="AR271" s="8" t="n">
        <v>3</v>
      </c>
      <c r="AS271" s="8" t="n">
        <v>2</v>
      </c>
      <c r="AT271" s="8" t="n">
        <v>3</v>
      </c>
      <c r="AU271" s="8" t="n">
        <v>1</v>
      </c>
      <c r="AV271" s="8" t="n">
        <v>1</v>
      </c>
      <c r="AW271" s="8" t="n">
        <v>0</v>
      </c>
      <c r="AX271" s="8" t="n">
        <v>1</v>
      </c>
      <c r="AY271" s="8" t="n">
        <v>1</v>
      </c>
      <c r="AZ271" s="8" t="n">
        <v>2</v>
      </c>
      <c r="BA271" s="8" t="n">
        <v>3</v>
      </c>
      <c r="BB271" s="8" t="n">
        <v>2</v>
      </c>
      <c r="BC271" s="8" t="n">
        <v>3</v>
      </c>
      <c r="BD271" s="8"/>
      <c r="BE271" s="8" t="n">
        <v>2</v>
      </c>
      <c r="BF271" s="8" t="n">
        <v>0</v>
      </c>
      <c r="BG271" s="8" t="n">
        <v>1</v>
      </c>
      <c r="BH271" s="8" t="n">
        <v>3</v>
      </c>
      <c r="BI271" s="8" t="n">
        <v>3</v>
      </c>
      <c r="BJ271" s="9" t="n">
        <v>17</v>
      </c>
      <c r="BK271" s="9" t="n">
        <v>8</v>
      </c>
      <c r="BL271" s="9" t="n">
        <v>5</v>
      </c>
      <c r="BM271" s="9" t="n">
        <v>5</v>
      </c>
      <c r="BN271" s="10" t="n">
        <v>0.9</v>
      </c>
      <c r="BO271" s="10" t="n">
        <v>0</v>
      </c>
      <c r="BP271" s="10" t="n">
        <f aca="false">IF(AND(ISNUMBER(BN271),ISNUMBER(BO271)),BN271+BO271,"")</f>
        <v>0.9</v>
      </c>
      <c r="BQ271" s="10" t="n">
        <v>0</v>
      </c>
      <c r="BR271" s="10" t="n">
        <v>0.1</v>
      </c>
      <c r="BS271" s="10" t="n">
        <v>0</v>
      </c>
    </row>
    <row r="272" customFormat="false" ht="15" hidden="false" customHeight="false" outlineLevel="0" collapsed="false">
      <c r="A272" s="8" t="s">
        <v>109</v>
      </c>
      <c r="B272" s="8" t="s">
        <v>124</v>
      </c>
      <c r="C272" s="8" t="n">
        <v>7</v>
      </c>
      <c r="D272" s="9" t="n">
        <v>240</v>
      </c>
      <c r="E272" s="9" t="n">
        <v>470</v>
      </c>
      <c r="F272" s="8" t="s">
        <v>92</v>
      </c>
      <c r="G272" s="8" t="s">
        <v>74</v>
      </c>
      <c r="H272" s="10" t="n">
        <v>0.2</v>
      </c>
      <c r="I272" s="10" t="n">
        <v>0.021</v>
      </c>
      <c r="J272" s="10" t="n">
        <v>0.004</v>
      </c>
      <c r="K272" s="8" t="n">
        <v>0</v>
      </c>
      <c r="L272" s="8" t="n">
        <v>7</v>
      </c>
      <c r="M272" s="10" t="n">
        <v>0.007</v>
      </c>
      <c r="N272" s="8" t="n">
        <v>0</v>
      </c>
      <c r="O272" s="9" t="n">
        <v>14</v>
      </c>
      <c r="P272" s="10" t="n">
        <f aca="false">IF(AND(ISNUMBER(O272),ISNUMBER(D272),D272&gt;0),O272/D272,"")</f>
        <v>0.0583333333333333</v>
      </c>
      <c r="Q272" s="9" t="n">
        <v>12</v>
      </c>
      <c r="R272" s="9" t="n">
        <v>12</v>
      </c>
      <c r="S272" s="9" t="n">
        <v>155</v>
      </c>
      <c r="T272" s="11" t="n">
        <f aca="false">IF(AND(ISNUMBER(S272),ISNUMBER(D272),D272&gt;0),S272/D272,"")</f>
        <v>0.645833333333333</v>
      </c>
      <c r="U272" s="10" t="n">
        <v>0.065</v>
      </c>
      <c r="V272" s="10" t="n">
        <v>0.1</v>
      </c>
      <c r="W272" s="10" t="n">
        <v>0.08</v>
      </c>
      <c r="X272" s="10"/>
      <c r="Y272" s="8" t="n">
        <v>0</v>
      </c>
      <c r="Z272" s="8" t="s">
        <v>74</v>
      </c>
      <c r="AA272" s="8" t="n">
        <v>10</v>
      </c>
      <c r="AB272" s="8" t="n">
        <v>0</v>
      </c>
      <c r="AC272" s="11" t="n">
        <f aca="false">IF(AND(ISNUMBER(AA272),ISNUMBER(D272),D272&gt;0),AA272/D272*100,"")</f>
        <v>4.16666666666667</v>
      </c>
      <c r="AD272" s="12" t="n">
        <v>1800</v>
      </c>
      <c r="AE272" s="8" t="s">
        <v>74</v>
      </c>
      <c r="AF272" s="8" t="s">
        <v>77</v>
      </c>
      <c r="AG272" s="12" t="n">
        <v>346</v>
      </c>
      <c r="AH272" s="12" t="n">
        <v>396</v>
      </c>
      <c r="AI272" s="12" t="n">
        <v>458</v>
      </c>
      <c r="AJ272" s="12" t="n">
        <v>531</v>
      </c>
      <c r="AK272" s="8" t="n">
        <v>20</v>
      </c>
      <c r="AL272" s="10" t="n">
        <v>0.45</v>
      </c>
      <c r="AM272" s="8" t="s">
        <v>74</v>
      </c>
      <c r="AN272" s="12" t="n">
        <v>34</v>
      </c>
      <c r="AO272" s="8" t="s">
        <v>77</v>
      </c>
      <c r="AP272" s="8" t="s">
        <v>74</v>
      </c>
      <c r="AQ272" s="10" t="n">
        <v>0.9</v>
      </c>
      <c r="AR272" s="8" t="n">
        <v>3</v>
      </c>
      <c r="AS272" s="8" t="n">
        <v>0</v>
      </c>
      <c r="AT272" s="8" t="n">
        <v>0</v>
      </c>
      <c r="AU272" s="8" t="n">
        <v>0</v>
      </c>
      <c r="AV272" s="8" t="n">
        <v>0</v>
      </c>
      <c r="AW272" s="8" t="n">
        <v>0</v>
      </c>
      <c r="AX272" s="8" t="n">
        <v>0</v>
      </c>
      <c r="AY272" s="8" t="n">
        <v>0</v>
      </c>
      <c r="AZ272" s="8" t="n">
        <v>2</v>
      </c>
      <c r="BA272" s="8" t="n">
        <v>2</v>
      </c>
      <c r="BB272" s="8" t="n">
        <v>2</v>
      </c>
      <c r="BC272" s="8" t="n">
        <v>3</v>
      </c>
      <c r="BD272" s="8" t="n">
        <v>1</v>
      </c>
      <c r="BE272" s="8" t="n">
        <v>0</v>
      </c>
      <c r="BF272" s="8" t="n">
        <v>0</v>
      </c>
      <c r="BG272" s="8" t="n">
        <v>0</v>
      </c>
      <c r="BH272" s="8" t="n">
        <v>0</v>
      </c>
      <c r="BI272" s="8" t="n">
        <v>3</v>
      </c>
      <c r="BJ272" s="9" t="n">
        <v>7</v>
      </c>
      <c r="BK272" s="9" t="n">
        <v>0</v>
      </c>
      <c r="BL272" s="9" t="n">
        <v>7</v>
      </c>
      <c r="BM272" s="9" t="n">
        <v>7</v>
      </c>
      <c r="BN272" s="10" t="n">
        <v>0.4</v>
      </c>
      <c r="BO272" s="10" t="n">
        <v>0.2</v>
      </c>
      <c r="BP272" s="10" t="n">
        <f aca="false">IF(AND(ISNUMBER(BN272),ISNUMBER(BO272)),BN272+BO272,"")</f>
        <v>0.6</v>
      </c>
      <c r="BQ272" s="10" t="n">
        <v>0.1</v>
      </c>
      <c r="BR272" s="10" t="n">
        <v>0.1</v>
      </c>
      <c r="BS272" s="10" t="n">
        <v>0.2</v>
      </c>
    </row>
    <row r="273" customFormat="false" ht="15" hidden="false" customHeight="false" outlineLevel="0" collapsed="false">
      <c r="A273" s="8" t="s">
        <v>110</v>
      </c>
      <c r="B273" s="8" t="s">
        <v>124</v>
      </c>
      <c r="C273" s="8" t="n">
        <v>7</v>
      </c>
      <c r="D273" s="9" t="n">
        <v>38</v>
      </c>
      <c r="E273" s="9" t="n">
        <v>46</v>
      </c>
      <c r="F273" s="8" t="s">
        <v>81</v>
      </c>
      <c r="G273" s="8" t="s">
        <v>74</v>
      </c>
      <c r="H273" s="10" t="n">
        <v>0</v>
      </c>
      <c r="I273" s="10"/>
      <c r="J273" s="10"/>
      <c r="K273" s="8" t="n">
        <v>0</v>
      </c>
      <c r="L273" s="8" t="n">
        <v>30</v>
      </c>
      <c r="M273" s="10" t="n">
        <v>0.012</v>
      </c>
      <c r="N273" s="8" t="n">
        <v>0</v>
      </c>
      <c r="O273" s="9" t="n">
        <v>1</v>
      </c>
      <c r="P273" s="10" t="n">
        <f aca="false">IF(AND(ISNUMBER(O273),ISNUMBER(D273),D273&gt;0),O273/D273,"")</f>
        <v>0.0263157894736842</v>
      </c>
      <c r="Q273" s="9"/>
      <c r="R273" s="9" t="n">
        <v>0</v>
      </c>
      <c r="S273" s="9" t="n">
        <v>9</v>
      </c>
      <c r="T273" s="11" t="n">
        <f aca="false">IF(AND(ISNUMBER(S273),ISNUMBER(D273),D273&gt;0),S273/D273,"")</f>
        <v>0.236842105263158</v>
      </c>
      <c r="U273" s="10" t="n">
        <v>0.07</v>
      </c>
      <c r="V273" s="10" t="n">
        <v>0.12</v>
      </c>
      <c r="W273" s="10" t="n">
        <v>0.13</v>
      </c>
      <c r="X273" s="10"/>
      <c r="Y273" s="8" t="n">
        <v>0</v>
      </c>
      <c r="Z273" s="8" t="s">
        <v>74</v>
      </c>
      <c r="AA273" s="8" t="n">
        <v>4</v>
      </c>
      <c r="AB273" s="8" t="n">
        <v>0</v>
      </c>
      <c r="AC273" s="11" t="n">
        <f aca="false">IF(AND(ISNUMBER(AA273),ISNUMBER(D273),D273&gt;0),AA273/D273*100,"")</f>
        <v>10.5263157894737</v>
      </c>
      <c r="AD273" s="12" t="n">
        <v>2501.34</v>
      </c>
      <c r="AE273" s="8" t="s">
        <v>74</v>
      </c>
      <c r="AF273" s="8" t="s">
        <v>77</v>
      </c>
      <c r="AG273" s="12" t="n">
        <v>344.26</v>
      </c>
      <c r="AH273" s="12" t="n">
        <v>380.16</v>
      </c>
      <c r="AI273" s="12" t="n">
        <v>608.26</v>
      </c>
      <c r="AJ273" s="12" t="n">
        <v>730</v>
      </c>
      <c r="AK273" s="8" t="n">
        <v>30</v>
      </c>
      <c r="AL273" s="10" t="n">
        <v>0.75</v>
      </c>
      <c r="AM273" s="8" t="s">
        <v>77</v>
      </c>
      <c r="AN273" s="12"/>
      <c r="AO273" s="8" t="s">
        <v>74</v>
      </c>
      <c r="AP273" s="8" t="s">
        <v>74</v>
      </c>
      <c r="AQ273" s="10" t="n">
        <v>0.5</v>
      </c>
      <c r="AR273" s="8" t="n">
        <v>1</v>
      </c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 t="n">
        <v>1</v>
      </c>
      <c r="BJ273" s="9" t="n">
        <v>0</v>
      </c>
      <c r="BK273" s="9" t="n">
        <v>0</v>
      </c>
      <c r="BL273" s="9" t="n">
        <v>0</v>
      </c>
      <c r="BM273" s="9" t="n">
        <v>1</v>
      </c>
      <c r="BN273" s="10" t="n">
        <v>0</v>
      </c>
      <c r="BO273" s="10" t="n">
        <v>0.2</v>
      </c>
      <c r="BP273" s="10" t="n">
        <f aca="false">IF(AND(ISNUMBER(BN273),ISNUMBER(BO273)),BN273+BO273,"")</f>
        <v>0.2</v>
      </c>
      <c r="BQ273" s="10" t="n">
        <v>0</v>
      </c>
      <c r="BR273" s="10" t="n">
        <v>0</v>
      </c>
      <c r="BS273" s="10" t="n">
        <v>0.8</v>
      </c>
    </row>
    <row r="274" customFormat="false" ht="15" hidden="false" customHeight="false" outlineLevel="0" collapsed="false">
      <c r="A274" s="8" t="s">
        <v>111</v>
      </c>
      <c r="B274" s="8" t="s">
        <v>124</v>
      </c>
      <c r="C274" s="8" t="n">
        <v>7</v>
      </c>
      <c r="D274" s="9" t="n">
        <v>93</v>
      </c>
      <c r="E274" s="9" t="n">
        <v>63</v>
      </c>
      <c r="F274" s="8" t="s">
        <v>73</v>
      </c>
      <c r="G274" s="8" t="s">
        <v>74</v>
      </c>
      <c r="H274" s="10" t="n">
        <v>0</v>
      </c>
      <c r="I274" s="10" t="n">
        <v>0.01</v>
      </c>
      <c r="J274" s="10" t="n">
        <v>0.01</v>
      </c>
      <c r="K274" s="8" t="n">
        <v>0</v>
      </c>
      <c r="L274" s="8" t="n">
        <v>25</v>
      </c>
      <c r="M274" s="10" t="n">
        <v>0.005</v>
      </c>
      <c r="N274" s="8" t="n">
        <v>0</v>
      </c>
      <c r="O274" s="9" t="n">
        <v>5</v>
      </c>
      <c r="P274" s="10" t="n">
        <f aca="false">IF(AND(ISNUMBER(O274),ISNUMBER(D274),D274&gt;0),O274/D274,"")</f>
        <v>0.0537634408602151</v>
      </c>
      <c r="Q274" s="9" t="n">
        <v>5</v>
      </c>
      <c r="R274" s="9" t="n">
        <v>5</v>
      </c>
      <c r="S274" s="9" t="n">
        <v>3</v>
      </c>
      <c r="T274" s="11" t="n">
        <f aca="false">IF(AND(ISNUMBER(S274),ISNUMBER(D274),D274&gt;0),S274/D274,"")</f>
        <v>0.032258064516129</v>
      </c>
      <c r="U274" s="10" t="n">
        <v>0.1</v>
      </c>
      <c r="V274" s="10" t="n">
        <v>0.085</v>
      </c>
      <c r="W274" s="10" t="n">
        <v>0.065</v>
      </c>
      <c r="X274" s="10" t="n">
        <v>0.025</v>
      </c>
      <c r="Y274" s="8" t="n">
        <v>0</v>
      </c>
      <c r="Z274" s="8" t="s">
        <v>74</v>
      </c>
      <c r="AA274" s="8" t="n">
        <v>10</v>
      </c>
      <c r="AB274" s="8" t="n">
        <v>0</v>
      </c>
      <c r="AC274" s="11" t="n">
        <f aca="false">IF(AND(ISNUMBER(AA274),ISNUMBER(D274),D274&gt;0),AA274/D274*100,"")</f>
        <v>10.752688172043</v>
      </c>
      <c r="AD274" s="12" t="n">
        <v>3500</v>
      </c>
      <c r="AE274" s="8"/>
      <c r="AF274" s="8" t="s">
        <v>74</v>
      </c>
      <c r="AG274" s="12" t="n">
        <v>346.73</v>
      </c>
      <c r="AH274" s="12" t="n">
        <v>378.64</v>
      </c>
      <c r="AI274" s="12" t="n">
        <v>411.51</v>
      </c>
      <c r="AJ274" s="12" t="n">
        <v>466.65</v>
      </c>
      <c r="AK274" s="8" t="n">
        <v>17</v>
      </c>
      <c r="AL274" s="10" t="n">
        <v>0.3</v>
      </c>
      <c r="AM274" s="8" t="s">
        <v>74</v>
      </c>
      <c r="AN274" s="12" t="n">
        <v>48</v>
      </c>
      <c r="AO274" s="8" t="s">
        <v>74</v>
      </c>
      <c r="AP274" s="8" t="s">
        <v>74</v>
      </c>
      <c r="AQ274" s="10" t="n">
        <v>1</v>
      </c>
      <c r="AR274" s="8" t="n">
        <v>2</v>
      </c>
      <c r="AS274" s="8" t="n">
        <v>1</v>
      </c>
      <c r="AT274" s="8" t="n">
        <v>0</v>
      </c>
      <c r="AU274" s="8" t="n">
        <v>0</v>
      </c>
      <c r="AV274" s="8" t="n">
        <v>0</v>
      </c>
      <c r="AW274" s="8" t="n">
        <v>0</v>
      </c>
      <c r="AX274" s="8" t="n">
        <v>0</v>
      </c>
      <c r="AY274" s="8" t="n">
        <v>3</v>
      </c>
      <c r="AZ274" s="8" t="n">
        <v>3</v>
      </c>
      <c r="BA274" s="8" t="n">
        <v>3</v>
      </c>
      <c r="BB274" s="8" t="n">
        <v>1</v>
      </c>
      <c r="BC274" s="8" t="n">
        <v>0</v>
      </c>
      <c r="BD274" s="8" t="n">
        <v>0</v>
      </c>
      <c r="BE274" s="8" t="n">
        <v>3</v>
      </c>
      <c r="BF274" s="8" t="n">
        <v>1</v>
      </c>
      <c r="BG274" s="8" t="n">
        <v>0</v>
      </c>
      <c r="BH274" s="8" t="n">
        <v>0</v>
      </c>
      <c r="BI274" s="8"/>
      <c r="BJ274" s="9" t="n">
        <v>4</v>
      </c>
      <c r="BK274" s="9" t="n">
        <v>1</v>
      </c>
      <c r="BL274" s="9" t="n">
        <v>0</v>
      </c>
      <c r="BM274" s="9" t="n">
        <v>1</v>
      </c>
      <c r="BN274" s="10" t="n">
        <v>0</v>
      </c>
      <c r="BO274" s="10" t="n">
        <v>0</v>
      </c>
      <c r="BP274" s="10" t="n">
        <f aca="false">IF(AND(ISNUMBER(BN274),ISNUMBER(BO274)),BN274+BO274,"")</f>
        <v>0</v>
      </c>
      <c r="BQ274" s="10" t="n">
        <v>0.8</v>
      </c>
      <c r="BR274" s="10" t="n">
        <v>0.2</v>
      </c>
      <c r="BS274" s="10" t="n">
        <v>0</v>
      </c>
    </row>
    <row r="275" customFormat="false" ht="15" hidden="false" customHeight="false" outlineLevel="0" collapsed="false">
      <c r="A275" s="8" t="s">
        <v>112</v>
      </c>
      <c r="B275" s="8" t="s">
        <v>124</v>
      </c>
      <c r="C275" s="8" t="n">
        <v>7</v>
      </c>
      <c r="D275" s="9" t="n">
        <v>391</v>
      </c>
      <c r="E275" s="9" t="n">
        <v>296</v>
      </c>
      <c r="F275" s="8" t="s">
        <v>92</v>
      </c>
      <c r="G275" s="8" t="s">
        <v>74</v>
      </c>
      <c r="H275" s="10" t="n">
        <v>0</v>
      </c>
      <c r="I275" s="10" t="n">
        <v>0.002</v>
      </c>
      <c r="J275" s="10" t="n">
        <v>0.002</v>
      </c>
      <c r="K275" s="8" t="n">
        <v>0</v>
      </c>
      <c r="L275" s="8" t="n">
        <v>40</v>
      </c>
      <c r="M275" s="10" t="n">
        <v>0.014</v>
      </c>
      <c r="N275" s="8" t="n">
        <v>0</v>
      </c>
      <c r="O275" s="9" t="n">
        <v>19</v>
      </c>
      <c r="P275" s="10" t="n">
        <f aca="false">IF(AND(ISNUMBER(O275),ISNUMBER(D275),D275&gt;0),O275/D275,"")</f>
        <v>0.0485933503836317</v>
      </c>
      <c r="Q275" s="9" t="n">
        <v>1</v>
      </c>
      <c r="R275" s="9" t="n">
        <v>1</v>
      </c>
      <c r="S275" s="9" t="n">
        <v>60</v>
      </c>
      <c r="T275" s="11" t="n">
        <f aca="false">IF(AND(ISNUMBER(S275),ISNUMBER(D275),D275&gt;0),S275/D275,"")</f>
        <v>0.153452685421995</v>
      </c>
      <c r="U275" s="10" t="n">
        <v>0.06</v>
      </c>
      <c r="V275" s="10" t="n">
        <v>0.12</v>
      </c>
      <c r="W275" s="10" t="n">
        <v>0.08</v>
      </c>
      <c r="X275" s="10"/>
      <c r="Y275" s="8" t="n">
        <v>0</v>
      </c>
      <c r="Z275" s="8" t="s">
        <v>74</v>
      </c>
      <c r="AA275" s="8" t="n">
        <v>41</v>
      </c>
      <c r="AB275" s="8" t="n">
        <v>1</v>
      </c>
      <c r="AC275" s="11" t="n">
        <f aca="false">IF(AND(ISNUMBER(AA275),ISNUMBER(D275),D275&gt;0),AA275/D275*100,"")</f>
        <v>10.4859335038363</v>
      </c>
      <c r="AD275" s="12" t="n">
        <v>1500</v>
      </c>
      <c r="AE275" s="8" t="s">
        <v>74</v>
      </c>
      <c r="AF275" s="8" t="s">
        <v>77</v>
      </c>
      <c r="AG275" s="12" t="n">
        <v>335</v>
      </c>
      <c r="AH275" s="12" t="n">
        <v>410</v>
      </c>
      <c r="AI275" s="12" t="n">
        <v>511</v>
      </c>
      <c r="AJ275" s="12" t="n">
        <v>831</v>
      </c>
      <c r="AK275" s="8" t="n">
        <v>26</v>
      </c>
      <c r="AL275" s="10" t="n">
        <v>0.5</v>
      </c>
      <c r="AM275" s="8" t="s">
        <v>74</v>
      </c>
      <c r="AN275" s="12" t="n">
        <v>42</v>
      </c>
      <c r="AO275" s="8" t="s">
        <v>74</v>
      </c>
      <c r="AP275" s="8" t="s">
        <v>74</v>
      </c>
      <c r="AQ275" s="10" t="n">
        <v>0.8</v>
      </c>
      <c r="AR275" s="8" t="n">
        <v>1</v>
      </c>
      <c r="AS275" s="8" t="n">
        <v>3</v>
      </c>
      <c r="AT275" s="8" t="n">
        <v>1</v>
      </c>
      <c r="AU275" s="8" t="n">
        <v>2</v>
      </c>
      <c r="AV275" s="8" t="n">
        <v>2</v>
      </c>
      <c r="AW275" s="8"/>
      <c r="AX275" s="8" t="n">
        <v>1</v>
      </c>
      <c r="AY275" s="8" t="n">
        <v>1</v>
      </c>
      <c r="AZ275" s="8" t="n">
        <v>1</v>
      </c>
      <c r="BA275" s="8" t="n">
        <v>1</v>
      </c>
      <c r="BB275" s="8" t="n">
        <v>3</v>
      </c>
      <c r="BC275" s="8" t="n">
        <v>1</v>
      </c>
      <c r="BD275" s="8" t="n">
        <v>2</v>
      </c>
      <c r="BE275" s="8" t="n">
        <v>2</v>
      </c>
      <c r="BF275" s="8" t="n">
        <v>2</v>
      </c>
      <c r="BG275" s="8" t="n">
        <v>1</v>
      </c>
      <c r="BH275" s="8" t="n">
        <v>3</v>
      </c>
      <c r="BI275" s="8" t="n">
        <v>2</v>
      </c>
      <c r="BJ275" s="9" t="n">
        <v>4</v>
      </c>
      <c r="BK275" s="9" t="n">
        <v>0</v>
      </c>
      <c r="BL275" s="9" t="n">
        <v>0</v>
      </c>
      <c r="BM275" s="9" t="n">
        <v>0</v>
      </c>
      <c r="BN275" s="10" t="n">
        <v>0</v>
      </c>
      <c r="BO275" s="10" t="n">
        <v>0.1</v>
      </c>
      <c r="BP275" s="10" t="n">
        <f aca="false">IF(AND(ISNUMBER(BN275),ISNUMBER(BO275)),BN275+BO275,"")</f>
        <v>0.1</v>
      </c>
      <c r="BQ275" s="10" t="n">
        <v>0.1</v>
      </c>
      <c r="BR275" s="10" t="n">
        <v>0.1</v>
      </c>
      <c r="BS275" s="10" t="n">
        <v>0.7</v>
      </c>
    </row>
    <row r="276" customFormat="false" ht="15" hidden="false" customHeight="false" outlineLevel="0" collapsed="false">
      <c r="A276" s="8" t="s">
        <v>113</v>
      </c>
      <c r="B276" s="8" t="s">
        <v>124</v>
      </c>
      <c r="C276" s="8" t="n">
        <v>7</v>
      </c>
      <c r="D276" s="9" t="n">
        <v>77</v>
      </c>
      <c r="E276" s="9" t="n">
        <v>47</v>
      </c>
      <c r="F276" s="8" t="s">
        <v>76</v>
      </c>
      <c r="G276" s="8" t="s">
        <v>77</v>
      </c>
      <c r="H276" s="10" t="n">
        <v>0.3</v>
      </c>
      <c r="I276" s="10" t="n">
        <v>0.013</v>
      </c>
      <c r="J276" s="10" t="n">
        <v>0.001</v>
      </c>
      <c r="K276" s="8" t="n">
        <v>0</v>
      </c>
      <c r="L276" s="8"/>
      <c r="M276" s="10" t="n">
        <v>0.001</v>
      </c>
      <c r="N276" s="8" t="n">
        <v>0</v>
      </c>
      <c r="O276" s="9" t="n">
        <v>11</v>
      </c>
      <c r="P276" s="10" t="n">
        <f aca="false">IF(AND(ISNUMBER(O276),ISNUMBER(D276),D276&gt;0),O276/D276,"")</f>
        <v>0.142857142857143</v>
      </c>
      <c r="Q276" s="9" t="n">
        <v>0</v>
      </c>
      <c r="R276" s="9" t="n">
        <v>0</v>
      </c>
      <c r="S276" s="9" t="n">
        <v>10</v>
      </c>
      <c r="T276" s="11" t="n">
        <f aca="false">IF(AND(ISNUMBER(S276),ISNUMBER(D276),D276&gt;0),S276/D276,"")</f>
        <v>0.12987012987013</v>
      </c>
      <c r="U276" s="10" t="n">
        <v>0.1</v>
      </c>
      <c r="V276" s="10"/>
      <c r="W276" s="10"/>
      <c r="X276" s="10" t="n">
        <v>0.1</v>
      </c>
      <c r="Y276" s="8" t="n">
        <v>0</v>
      </c>
      <c r="Z276" s="8" t="s">
        <v>77</v>
      </c>
      <c r="AA276" s="8" t="n">
        <v>0</v>
      </c>
      <c r="AB276" s="8" t="n">
        <v>0</v>
      </c>
      <c r="AC276" s="11" t="n">
        <f aca="false">IF(AND(ISNUMBER(AA276),ISNUMBER(D276),D276&gt;0),AA276/D276*100,"")</f>
        <v>0</v>
      </c>
      <c r="AD276" s="12"/>
      <c r="AE276" s="8" t="s">
        <v>74</v>
      </c>
      <c r="AF276" s="8" t="s">
        <v>74</v>
      </c>
      <c r="AG276" s="12" t="n">
        <v>278.78</v>
      </c>
      <c r="AH276" s="12" t="n">
        <v>278.78</v>
      </c>
      <c r="AI276" s="12" t="n">
        <v>351.26</v>
      </c>
      <c r="AJ276" s="12" t="n">
        <v>577.38</v>
      </c>
      <c r="AK276" s="8" t="n">
        <v>15</v>
      </c>
      <c r="AL276" s="10" t="n">
        <v>0.25</v>
      </c>
      <c r="AM276" s="8" t="s">
        <v>74</v>
      </c>
      <c r="AN276" s="12" t="n">
        <v>45</v>
      </c>
      <c r="AO276" s="8" t="s">
        <v>77</v>
      </c>
      <c r="AP276" s="8" t="s">
        <v>74</v>
      </c>
      <c r="AQ276" s="10"/>
      <c r="AR276" s="8" t="n">
        <v>3</v>
      </c>
      <c r="AS276" s="8" t="n">
        <v>3</v>
      </c>
      <c r="AT276" s="8" t="n">
        <v>3</v>
      </c>
      <c r="AU276" s="8"/>
      <c r="AV276" s="8"/>
      <c r="AW276" s="8" t="n">
        <v>2</v>
      </c>
      <c r="AX276" s="8" t="n">
        <v>2</v>
      </c>
      <c r="AY276" s="8" t="n">
        <v>3</v>
      </c>
      <c r="AZ276" s="8" t="n">
        <v>2</v>
      </c>
      <c r="BA276" s="8" t="n">
        <v>2</v>
      </c>
      <c r="BB276" s="8" t="n">
        <v>2</v>
      </c>
      <c r="BC276" s="8" t="n">
        <v>2</v>
      </c>
      <c r="BD276" s="8" t="n">
        <v>2</v>
      </c>
      <c r="BE276" s="8" t="n">
        <v>3</v>
      </c>
      <c r="BF276" s="8" t="n">
        <v>2</v>
      </c>
      <c r="BG276" s="8" t="n">
        <v>2</v>
      </c>
      <c r="BH276" s="8" t="n">
        <v>2</v>
      </c>
      <c r="BI276" s="8" t="n">
        <v>2</v>
      </c>
      <c r="BJ276" s="9" t="n">
        <v>12</v>
      </c>
      <c r="BK276" s="9" t="n">
        <v>0</v>
      </c>
      <c r="BL276" s="9"/>
      <c r="BM276" s="9"/>
      <c r="BN276" s="10" t="n">
        <v>0.1</v>
      </c>
      <c r="BO276" s="10" t="n">
        <v>0.4</v>
      </c>
      <c r="BP276" s="10" t="n">
        <f aca="false">IF(AND(ISNUMBER(BN276),ISNUMBER(BO276)),BN276+BO276,"")</f>
        <v>0.5</v>
      </c>
      <c r="BQ276" s="10" t="n">
        <v>0.2</v>
      </c>
      <c r="BR276" s="10" t="n">
        <v>0.4</v>
      </c>
      <c r="BS276" s="10" t="n">
        <v>0</v>
      </c>
    </row>
    <row r="277" customFormat="false" ht="15" hidden="false" customHeight="false" outlineLevel="0" collapsed="false">
      <c r="A277" s="8" t="s">
        <v>114</v>
      </c>
      <c r="B277" s="8" t="s">
        <v>124</v>
      </c>
      <c r="C277" s="8" t="n">
        <v>7</v>
      </c>
      <c r="D277" s="9" t="n">
        <v>1267</v>
      </c>
      <c r="E277" s="9" t="n">
        <v>405</v>
      </c>
      <c r="F277" s="8" t="s">
        <v>81</v>
      </c>
      <c r="G277" s="8" t="s">
        <v>74</v>
      </c>
      <c r="H277" s="10" t="n">
        <v>0</v>
      </c>
      <c r="I277" s="10" t="n">
        <v>0.043</v>
      </c>
      <c r="J277" s="10" t="n">
        <v>0.013</v>
      </c>
      <c r="K277" s="8" t="n">
        <v>0</v>
      </c>
      <c r="L277" s="8" t="n">
        <v>15</v>
      </c>
      <c r="M277" s="10" t="n">
        <v>0.011</v>
      </c>
      <c r="N277" s="8" t="n">
        <v>0</v>
      </c>
      <c r="O277" s="9" t="n">
        <v>89</v>
      </c>
      <c r="P277" s="10" t="n">
        <f aca="false">IF(AND(ISNUMBER(O277),ISNUMBER(D277),D277&gt;0),O277/D277,"")</f>
        <v>0.0702446724546172</v>
      </c>
      <c r="Q277" s="9" t="n">
        <v>66</v>
      </c>
      <c r="R277" s="9" t="n">
        <v>66</v>
      </c>
      <c r="S277" s="9" t="n">
        <v>1325</v>
      </c>
      <c r="T277" s="11" t="n">
        <f aca="false">IF(AND(ISNUMBER(S277),ISNUMBER(D277),D277&gt;0),S277/D277,"")</f>
        <v>1.0457774269929</v>
      </c>
      <c r="U277" s="10" t="n">
        <v>0.07</v>
      </c>
      <c r="V277" s="10" t="n">
        <v>0.09</v>
      </c>
      <c r="W277" s="10" t="n">
        <v>0.09</v>
      </c>
      <c r="X277" s="10" t="n">
        <v>0.1</v>
      </c>
      <c r="Y277" s="8" t="n">
        <v>0</v>
      </c>
      <c r="Z277" s="8" t="s">
        <v>74</v>
      </c>
      <c r="AA277" s="8" t="n">
        <v>41</v>
      </c>
      <c r="AB277" s="8" t="n">
        <v>1</v>
      </c>
      <c r="AC277" s="11" t="n">
        <f aca="false">IF(AND(ISNUMBER(AA277),ISNUMBER(D277),D277&gt;0),AA277/D277*100,"")</f>
        <v>3.23599052880821</v>
      </c>
      <c r="AD277" s="12" t="n">
        <v>1000</v>
      </c>
      <c r="AE277" s="8" t="s">
        <v>74</v>
      </c>
      <c r="AF277" s="8" t="s">
        <v>77</v>
      </c>
      <c r="AG277" s="12" t="n">
        <v>346.26</v>
      </c>
      <c r="AH277" s="12" t="n">
        <v>400.59</v>
      </c>
      <c r="AI277" s="12" t="n">
        <v>420.62</v>
      </c>
      <c r="AJ277" s="12" t="n">
        <v>441.64</v>
      </c>
      <c r="AK277" s="8" t="n">
        <v>15</v>
      </c>
      <c r="AL277" s="10" t="n">
        <v>0.25</v>
      </c>
      <c r="AM277" s="8" t="s">
        <v>74</v>
      </c>
      <c r="AN277" s="12" t="n">
        <v>22</v>
      </c>
      <c r="AO277" s="8" t="s">
        <v>77</v>
      </c>
      <c r="AP277" s="8" t="s">
        <v>74</v>
      </c>
      <c r="AQ277" s="10" t="n">
        <v>0.9</v>
      </c>
      <c r="AR277" s="8" t="n">
        <v>4</v>
      </c>
      <c r="AS277" s="8" t="n">
        <v>5</v>
      </c>
      <c r="AT277" s="8" t="n">
        <v>1</v>
      </c>
      <c r="AU277" s="8" t="n">
        <v>3</v>
      </c>
      <c r="AV277" s="8" t="n">
        <v>3</v>
      </c>
      <c r="AW277" s="8" t="n">
        <v>3</v>
      </c>
      <c r="AX277" s="8" t="n">
        <v>2</v>
      </c>
      <c r="AY277" s="8" t="n">
        <v>3</v>
      </c>
      <c r="AZ277" s="8" t="n">
        <v>1</v>
      </c>
      <c r="BA277" s="8" t="n">
        <v>2</v>
      </c>
      <c r="BB277" s="8" t="n">
        <v>4</v>
      </c>
      <c r="BC277" s="8" t="n">
        <v>3</v>
      </c>
      <c r="BD277" s="8" t="n">
        <v>4</v>
      </c>
      <c r="BE277" s="8" t="n">
        <v>2</v>
      </c>
      <c r="BF277" s="8" t="n">
        <v>3</v>
      </c>
      <c r="BG277" s="8" t="n">
        <v>1</v>
      </c>
      <c r="BH277" s="8" t="n">
        <v>5</v>
      </c>
      <c r="BI277" s="8" t="n">
        <v>5</v>
      </c>
      <c r="BJ277" s="9" t="n">
        <v>64</v>
      </c>
      <c r="BK277" s="9" t="n">
        <v>15</v>
      </c>
      <c r="BL277" s="9" t="n">
        <v>9</v>
      </c>
      <c r="BM277" s="9" t="n">
        <v>5</v>
      </c>
      <c r="BN277" s="10" t="n">
        <v>0.1</v>
      </c>
      <c r="BO277" s="10" t="n">
        <v>0.3</v>
      </c>
      <c r="BP277" s="10" t="n">
        <f aca="false">IF(AND(ISNUMBER(BN277),ISNUMBER(BO277)),BN277+BO277,"")</f>
        <v>0.4</v>
      </c>
      <c r="BQ277" s="10" t="n">
        <v>0.3</v>
      </c>
      <c r="BR277" s="10" t="n">
        <v>0.2</v>
      </c>
      <c r="BS277" s="10" t="n">
        <v>0.1</v>
      </c>
    </row>
    <row r="278" customFormat="false" ht="15" hidden="false" customHeight="false" outlineLevel="0" collapsed="false">
      <c r="A278" s="8" t="s">
        <v>115</v>
      </c>
      <c r="B278" s="8" t="s">
        <v>124</v>
      </c>
      <c r="C278" s="8" t="n">
        <v>7</v>
      </c>
      <c r="D278" s="9" t="n">
        <v>964</v>
      </c>
      <c r="E278" s="9" t="n">
        <v>480</v>
      </c>
      <c r="F278" s="8" t="s">
        <v>92</v>
      </c>
      <c r="G278" s="8" t="s">
        <v>74</v>
      </c>
      <c r="H278" s="10"/>
      <c r="I278" s="10" t="n">
        <v>0.003</v>
      </c>
      <c r="J278" s="10" t="n">
        <v>0.003</v>
      </c>
      <c r="K278" s="8" t="n">
        <v>0</v>
      </c>
      <c r="L278" s="8" t="n">
        <v>30</v>
      </c>
      <c r="M278" s="10" t="n">
        <v>0.005</v>
      </c>
      <c r="N278" s="8" t="n">
        <v>0</v>
      </c>
      <c r="O278" s="9" t="n">
        <v>16</v>
      </c>
      <c r="P278" s="10" t="n">
        <f aca="false">IF(AND(ISNUMBER(O278),ISNUMBER(D278),D278&gt;0),O278/D278,"")</f>
        <v>0.016597510373444</v>
      </c>
      <c r="Q278" s="9" t="n">
        <v>25</v>
      </c>
      <c r="R278" s="9" t="n">
        <v>15</v>
      </c>
      <c r="S278" s="9" t="n">
        <v>115</v>
      </c>
      <c r="T278" s="11" t="n">
        <f aca="false">IF(AND(ISNUMBER(S278),ISNUMBER(D278),D278&gt;0),S278/D278,"")</f>
        <v>0.119294605809129</v>
      </c>
      <c r="U278" s="10" t="n">
        <v>0.07</v>
      </c>
      <c r="V278" s="10" t="n">
        <v>0.13</v>
      </c>
      <c r="W278" s="10" t="n">
        <v>0.115</v>
      </c>
      <c r="X278" s="10" t="n">
        <v>0.08</v>
      </c>
      <c r="Y278" s="8" t="n">
        <v>0</v>
      </c>
      <c r="Z278" s="8" t="s">
        <v>74</v>
      </c>
      <c r="AA278" s="8" t="n">
        <v>1</v>
      </c>
      <c r="AB278" s="8" t="n">
        <v>0</v>
      </c>
      <c r="AC278" s="11" t="n">
        <f aca="false">IF(AND(ISNUMBER(AA278),ISNUMBER(D278),D278&gt;0),AA278/D278*100,"")</f>
        <v>0.103734439834025</v>
      </c>
      <c r="AD278" s="12" t="n">
        <v>0</v>
      </c>
      <c r="AE278" s="8" t="s">
        <v>77</v>
      </c>
      <c r="AF278" s="8" t="s">
        <v>74</v>
      </c>
      <c r="AG278" s="12" t="n">
        <v>400</v>
      </c>
      <c r="AH278" s="12" t="n">
        <v>479</v>
      </c>
      <c r="AI278" s="12" t="n">
        <v>624</v>
      </c>
      <c r="AJ278" s="12" t="n">
        <v>790</v>
      </c>
      <c r="AK278" s="8" t="n">
        <v>40</v>
      </c>
      <c r="AL278" s="10" t="n">
        <v>0.95</v>
      </c>
      <c r="AM278" s="8" t="s">
        <v>74</v>
      </c>
      <c r="AN278" s="12" t="n">
        <v>52</v>
      </c>
      <c r="AO278" s="8" t="s">
        <v>74</v>
      </c>
      <c r="AP278" s="8" t="s">
        <v>74</v>
      </c>
      <c r="AQ278" s="10" t="n">
        <v>0.4</v>
      </c>
      <c r="AR278" s="8" t="n">
        <v>3</v>
      </c>
      <c r="AS278" s="8" t="n">
        <v>1</v>
      </c>
      <c r="AT278" s="8" t="n">
        <v>2</v>
      </c>
      <c r="AU278" s="8" t="n">
        <v>2</v>
      </c>
      <c r="AV278" s="8" t="n">
        <v>3</v>
      </c>
      <c r="AW278" s="8" t="n">
        <v>1</v>
      </c>
      <c r="AX278" s="8" t="n">
        <v>1</v>
      </c>
      <c r="AY278" s="8" t="n">
        <v>1</v>
      </c>
      <c r="AZ278" s="8" t="n">
        <v>2</v>
      </c>
      <c r="BA278" s="8" t="n">
        <v>1</v>
      </c>
      <c r="BB278" s="8" t="n">
        <v>1</v>
      </c>
      <c r="BC278" s="8" t="n">
        <v>1</v>
      </c>
      <c r="BD278" s="8" t="n">
        <v>1</v>
      </c>
      <c r="BE278" s="8" t="n">
        <v>1</v>
      </c>
      <c r="BF278" s="8" t="n">
        <v>2</v>
      </c>
      <c r="BG278" s="8" t="n">
        <v>1</v>
      </c>
      <c r="BH278" s="8" t="n">
        <v>1</v>
      </c>
      <c r="BI278" s="8" t="n">
        <v>3</v>
      </c>
      <c r="BJ278" s="9" t="n">
        <v>9</v>
      </c>
      <c r="BK278" s="9"/>
      <c r="BL278" s="9" t="n">
        <v>2</v>
      </c>
      <c r="BM278" s="9" t="n">
        <v>4</v>
      </c>
      <c r="BN278" s="10" t="n">
        <v>0</v>
      </c>
      <c r="BO278" s="10" t="n">
        <v>0.1</v>
      </c>
      <c r="BP278" s="10" t="n">
        <f aca="false">IF(AND(ISNUMBER(BN278),ISNUMBER(BO278)),BN278+BO278,"")</f>
        <v>0.1</v>
      </c>
      <c r="BQ278" s="10" t="n">
        <v>0.1</v>
      </c>
      <c r="BR278" s="10" t="n">
        <v>0.5</v>
      </c>
      <c r="BS278" s="10" t="n">
        <v>0.3</v>
      </c>
    </row>
    <row r="279" customFormat="false" ht="15" hidden="false" customHeight="false" outlineLevel="0" collapsed="false">
      <c r="A279" s="8" t="s">
        <v>116</v>
      </c>
      <c r="B279" s="8" t="s">
        <v>124</v>
      </c>
      <c r="C279" s="8" t="n">
        <v>7</v>
      </c>
      <c r="D279" s="9" t="n">
        <v>2863</v>
      </c>
      <c r="E279" s="9" t="n">
        <v>699</v>
      </c>
      <c r="F279" s="8" t="s">
        <v>73</v>
      </c>
      <c r="G279" s="8" t="s">
        <v>74</v>
      </c>
      <c r="H279" s="10" t="n">
        <v>0.1</v>
      </c>
      <c r="I279" s="10" t="n">
        <v>0.02</v>
      </c>
      <c r="J279" s="10" t="n">
        <v>0.015</v>
      </c>
      <c r="K279" s="8" t="n">
        <v>0</v>
      </c>
      <c r="L279" s="8" t="n">
        <v>5</v>
      </c>
      <c r="M279" s="10" t="n">
        <v>0.04</v>
      </c>
      <c r="N279" s="8" t="n">
        <v>0</v>
      </c>
      <c r="O279" s="9" t="n">
        <v>459</v>
      </c>
      <c r="P279" s="10" t="n">
        <f aca="false">IF(AND(ISNUMBER(O279),ISNUMBER(D279),D279&gt;0),O279/D279,"")</f>
        <v>0.160321341250437</v>
      </c>
      <c r="Q279" s="9" t="n">
        <v>545</v>
      </c>
      <c r="R279" s="9" t="n">
        <v>743</v>
      </c>
      <c r="S279" s="9" t="n">
        <v>2708</v>
      </c>
      <c r="T279" s="11" t="n">
        <f aca="false">IF(AND(ISNUMBER(S279),ISNUMBER(D279),D279&gt;0),S279/D279,"")</f>
        <v>0.945860984980789</v>
      </c>
      <c r="U279" s="10" t="n">
        <v>0.06</v>
      </c>
      <c r="V279" s="10" t="n">
        <v>0.1</v>
      </c>
      <c r="W279" s="10" t="n">
        <v>0.06</v>
      </c>
      <c r="X279" s="10"/>
      <c r="Y279" s="8" t="n">
        <v>0</v>
      </c>
      <c r="Z279" s="8" t="s">
        <v>74</v>
      </c>
      <c r="AA279" s="8" t="n">
        <v>41</v>
      </c>
      <c r="AB279" s="8" t="n">
        <v>1</v>
      </c>
      <c r="AC279" s="11" t="n">
        <f aca="false">IF(AND(ISNUMBER(AA279),ISNUMBER(D279),D279&gt;0),AA279/D279*100,"")</f>
        <v>1.43206426825009</v>
      </c>
      <c r="AD279" s="12" t="n">
        <v>580</v>
      </c>
      <c r="AE279" s="8" t="s">
        <v>74</v>
      </c>
      <c r="AF279" s="8" t="s">
        <v>77</v>
      </c>
      <c r="AG279" s="12" t="n">
        <v>349</v>
      </c>
      <c r="AH279" s="12" t="n">
        <v>349</v>
      </c>
      <c r="AI279" s="12" t="n">
        <v>358</v>
      </c>
      <c r="AJ279" s="12" t="n">
        <v>367</v>
      </c>
      <c r="AK279" s="8" t="n">
        <v>20</v>
      </c>
      <c r="AL279" s="10" t="n">
        <v>0.6</v>
      </c>
      <c r="AM279" s="8" t="s">
        <v>77</v>
      </c>
      <c r="AN279" s="12"/>
      <c r="AO279" s="8" t="s">
        <v>74</v>
      </c>
      <c r="AP279" s="8" t="s">
        <v>74</v>
      </c>
      <c r="AQ279" s="10" t="n">
        <v>0.9</v>
      </c>
      <c r="AR279" s="8" t="n">
        <v>3</v>
      </c>
      <c r="AS279" s="8" t="n">
        <v>3</v>
      </c>
      <c r="AT279" s="8"/>
      <c r="AU279" s="8"/>
      <c r="AV279" s="8"/>
      <c r="AW279" s="8"/>
      <c r="AX279" s="8"/>
      <c r="AY279" s="8"/>
      <c r="AZ279" s="8"/>
      <c r="BA279" s="8" t="n">
        <v>3</v>
      </c>
      <c r="BB279" s="8"/>
      <c r="BC279" s="8"/>
      <c r="BD279" s="8"/>
      <c r="BE279" s="8"/>
      <c r="BF279" s="8"/>
      <c r="BG279" s="8"/>
      <c r="BH279" s="8" t="n">
        <v>3</v>
      </c>
      <c r="BI279" s="8" t="n">
        <v>3</v>
      </c>
      <c r="BJ279" s="9" t="n">
        <v>291</v>
      </c>
      <c r="BK279" s="9" t="n">
        <v>0</v>
      </c>
      <c r="BL279" s="9" t="n">
        <v>15</v>
      </c>
      <c r="BM279" s="9" t="n">
        <v>140</v>
      </c>
      <c r="BN279" s="10" t="n">
        <v>0.3</v>
      </c>
      <c r="BO279" s="10" t="n">
        <v>0.3</v>
      </c>
      <c r="BP279" s="10" t="n">
        <f aca="false">IF(AND(ISNUMBER(BN279),ISNUMBER(BO279)),BN279+BO279,"")</f>
        <v>0.6</v>
      </c>
      <c r="BQ279" s="10" t="n">
        <v>0.2</v>
      </c>
      <c r="BR279" s="10" t="n">
        <v>0.1</v>
      </c>
      <c r="BS279" s="10" t="n">
        <v>0.1</v>
      </c>
    </row>
    <row r="280" customFormat="false" ht="15" hidden="false" customHeight="false" outlineLevel="0" collapsed="false">
      <c r="A280" s="8" t="s">
        <v>117</v>
      </c>
      <c r="B280" s="8" t="s">
        <v>124</v>
      </c>
      <c r="C280" s="8" t="n">
        <v>7</v>
      </c>
      <c r="D280" s="9" t="n">
        <v>1151</v>
      </c>
      <c r="E280" s="9" t="n">
        <v>320</v>
      </c>
      <c r="F280" s="8" t="s">
        <v>92</v>
      </c>
      <c r="G280" s="8" t="s">
        <v>74</v>
      </c>
      <c r="H280" s="10" t="n">
        <v>0.7</v>
      </c>
      <c r="I280" s="10" t="n">
        <v>0.102</v>
      </c>
      <c r="J280" s="10" t="n">
        <v>0.035</v>
      </c>
      <c r="K280" s="8" t="n">
        <v>0</v>
      </c>
      <c r="L280" s="8" t="n">
        <v>7</v>
      </c>
      <c r="M280" s="10" t="n">
        <v>0.117</v>
      </c>
      <c r="N280" s="8" t="n">
        <v>0</v>
      </c>
      <c r="O280" s="9" t="n">
        <v>121</v>
      </c>
      <c r="P280" s="10" t="n">
        <f aca="false">IF(AND(ISNUMBER(O280),ISNUMBER(D280),D280&gt;0),O280/D280,"")</f>
        <v>0.105125977410947</v>
      </c>
      <c r="Q280" s="9"/>
      <c r="R280" s="9" t="n">
        <v>64</v>
      </c>
      <c r="S280" s="9" t="n">
        <v>1162</v>
      </c>
      <c r="T280" s="11" t="n">
        <f aca="false">IF(AND(ISNUMBER(S280),ISNUMBER(D280),D280&gt;0),S280/D280,"")</f>
        <v>1.00955690703736</v>
      </c>
      <c r="U280" s="10" t="n">
        <v>0.058</v>
      </c>
      <c r="V280" s="10" t="n">
        <v>0.095</v>
      </c>
      <c r="W280" s="10" t="n">
        <v>0.11</v>
      </c>
      <c r="X280" s="10" t="n">
        <v>0.065</v>
      </c>
      <c r="Y280" s="8" t="n">
        <v>0</v>
      </c>
      <c r="Z280" s="8" t="s">
        <v>74</v>
      </c>
      <c r="AA280" s="8" t="n">
        <v>22</v>
      </c>
      <c r="AB280" s="8" t="n">
        <v>0</v>
      </c>
      <c r="AC280" s="11" t="n">
        <f aca="false">IF(AND(ISNUMBER(AA280),ISNUMBER(D280),D280&gt;0),AA280/D280*100,"")</f>
        <v>1.91138140747176</v>
      </c>
      <c r="AD280" s="12" t="n">
        <v>4355</v>
      </c>
      <c r="AE280" s="8" t="s">
        <v>74</v>
      </c>
      <c r="AF280" s="8" t="s">
        <v>77</v>
      </c>
      <c r="AG280" s="12" t="n">
        <v>322.12</v>
      </c>
      <c r="AH280" s="12" t="n">
        <v>363.25</v>
      </c>
      <c r="AI280" s="12" t="n">
        <v>439.61</v>
      </c>
      <c r="AJ280" s="12" t="n">
        <v>540.94</v>
      </c>
      <c r="AK280" s="8" t="n">
        <v>26</v>
      </c>
      <c r="AL280" s="10" t="n">
        <v>0.7</v>
      </c>
      <c r="AM280" s="8" t="s">
        <v>74</v>
      </c>
      <c r="AN280" s="12" t="n">
        <v>46</v>
      </c>
      <c r="AO280" s="8" t="s">
        <v>77</v>
      </c>
      <c r="AP280" s="8" t="s">
        <v>74</v>
      </c>
      <c r="AQ280" s="10" t="n">
        <v>0.97</v>
      </c>
      <c r="AR280" s="8" t="n">
        <v>4</v>
      </c>
      <c r="AS280" s="8" t="n">
        <v>0</v>
      </c>
      <c r="AT280" s="8" t="n">
        <v>1</v>
      </c>
      <c r="AU280" s="8" t="n">
        <v>3</v>
      </c>
      <c r="AV280" s="8" t="n">
        <v>2</v>
      </c>
      <c r="AW280" s="8" t="n">
        <v>1</v>
      </c>
      <c r="AX280" s="8" t="n">
        <v>1</v>
      </c>
      <c r="AY280" s="8" t="n">
        <v>2</v>
      </c>
      <c r="AZ280" s="8" t="n">
        <v>1</v>
      </c>
      <c r="BA280" s="8" t="n">
        <v>1</v>
      </c>
      <c r="BB280" s="8" t="n">
        <v>4</v>
      </c>
      <c r="BC280" s="8" t="n">
        <v>4</v>
      </c>
      <c r="BD280" s="8" t="n">
        <v>3</v>
      </c>
      <c r="BE280" s="8" t="n">
        <v>2</v>
      </c>
      <c r="BF280" s="8" t="n">
        <v>2</v>
      </c>
      <c r="BG280" s="8" t="n">
        <v>1</v>
      </c>
      <c r="BH280" s="8" t="n">
        <v>3</v>
      </c>
      <c r="BI280" s="8" t="n">
        <v>5</v>
      </c>
      <c r="BJ280" s="9" t="n">
        <v>85</v>
      </c>
      <c r="BK280" s="9" t="n">
        <v>33</v>
      </c>
      <c r="BL280" s="9" t="n">
        <v>3</v>
      </c>
      <c r="BM280" s="9" t="n">
        <v>7</v>
      </c>
      <c r="BN280" s="10" t="n">
        <v>0</v>
      </c>
      <c r="BO280" s="10" t="n">
        <v>0.5</v>
      </c>
      <c r="BP280" s="10" t="n">
        <f aca="false">IF(AND(ISNUMBER(BN280),ISNUMBER(BO280)),BN280+BO280,"")</f>
        <v>0.5</v>
      </c>
      <c r="BQ280" s="10" t="n">
        <v>0.3</v>
      </c>
      <c r="BR280" s="10" t="n">
        <v>0.1</v>
      </c>
      <c r="BS280" s="10" t="n">
        <v>0.1</v>
      </c>
    </row>
    <row r="281" customFormat="false" ht="15" hidden="false" customHeight="false" outlineLevel="0" collapsed="false">
      <c r="A281" s="8" t="s">
        <v>118</v>
      </c>
      <c r="B281" s="8" t="s">
        <v>124</v>
      </c>
      <c r="C281" s="8" t="n">
        <v>7</v>
      </c>
      <c r="D281" s="9" t="n">
        <v>316</v>
      </c>
      <c r="E281" s="9" t="n">
        <v>98</v>
      </c>
      <c r="F281" s="8" t="s">
        <v>73</v>
      </c>
      <c r="G281" s="8" t="s">
        <v>74</v>
      </c>
      <c r="H281" s="10" t="n">
        <v>0.1</v>
      </c>
      <c r="I281" s="10" t="n">
        <v>0.008</v>
      </c>
      <c r="J281" s="10"/>
      <c r="K281" s="8" t="n">
        <v>0</v>
      </c>
      <c r="L281" s="8" t="n">
        <v>60</v>
      </c>
      <c r="M281" s="10" t="n">
        <v>0.004</v>
      </c>
      <c r="N281" s="8" t="n">
        <v>0</v>
      </c>
      <c r="O281" s="9" t="n">
        <v>10</v>
      </c>
      <c r="P281" s="10" t="n">
        <f aca="false">IF(AND(ISNUMBER(O281),ISNUMBER(D281),D281&gt;0),O281/D281,"")</f>
        <v>0.0316455696202532</v>
      </c>
      <c r="Q281" s="9" t="n">
        <v>1</v>
      </c>
      <c r="R281" s="9"/>
      <c r="S281" s="9" t="n">
        <v>25</v>
      </c>
      <c r="T281" s="11" t="n">
        <f aca="false">IF(AND(ISNUMBER(S281),ISNUMBER(D281),D281&gt;0),S281/D281,"")</f>
        <v>0.0791139240506329</v>
      </c>
      <c r="U281" s="10" t="n">
        <v>0.065</v>
      </c>
      <c r="V281" s="10" t="n">
        <v>0.12</v>
      </c>
      <c r="W281" s="10" t="n">
        <v>0.095</v>
      </c>
      <c r="X281" s="10"/>
      <c r="Y281" s="8" t="n">
        <v>0</v>
      </c>
      <c r="Z281" s="8" t="s">
        <v>74</v>
      </c>
      <c r="AA281" s="8" t="n">
        <v>24</v>
      </c>
      <c r="AB281" s="8" t="n">
        <v>0</v>
      </c>
      <c r="AC281" s="11" t="n">
        <f aca="false">IF(AND(ISNUMBER(AA281),ISNUMBER(D281),D281&gt;0),AA281/D281*100,"")</f>
        <v>7.59493670886076</v>
      </c>
      <c r="AD281" s="12" t="n">
        <v>0</v>
      </c>
      <c r="AE281" s="8" t="s">
        <v>77</v>
      </c>
      <c r="AF281" s="8" t="s">
        <v>77</v>
      </c>
      <c r="AG281" s="12" t="n">
        <v>398</v>
      </c>
      <c r="AH281" s="12" t="n">
        <v>419</v>
      </c>
      <c r="AI281" s="12" t="n">
        <v>495</v>
      </c>
      <c r="AJ281" s="12" t="n">
        <v>596</v>
      </c>
      <c r="AK281" s="8" t="n">
        <v>23</v>
      </c>
      <c r="AL281" s="10" t="n">
        <v>0.7</v>
      </c>
      <c r="AM281" s="8" t="s">
        <v>74</v>
      </c>
      <c r="AN281" s="12" t="n">
        <v>34</v>
      </c>
      <c r="AO281" s="8" t="s">
        <v>77</v>
      </c>
      <c r="AP281" s="8" t="s">
        <v>74</v>
      </c>
      <c r="AQ281" s="10" t="n">
        <v>0.8</v>
      </c>
      <c r="AR281" s="8" t="n">
        <v>2</v>
      </c>
      <c r="AS281" s="8" t="n">
        <v>1</v>
      </c>
      <c r="AT281" s="8" t="n">
        <v>1</v>
      </c>
      <c r="AU281" s="8" t="n">
        <v>2</v>
      </c>
      <c r="AV281" s="8" t="n">
        <v>3</v>
      </c>
      <c r="AW281" s="8" t="n">
        <v>2</v>
      </c>
      <c r="AX281" s="8" t="n">
        <v>1</v>
      </c>
      <c r="AY281" s="8" t="n">
        <v>1</v>
      </c>
      <c r="AZ281" s="8" t="n">
        <v>1</v>
      </c>
      <c r="BA281" s="8" t="n">
        <v>1</v>
      </c>
      <c r="BB281" s="8" t="n">
        <v>3</v>
      </c>
      <c r="BC281" s="8" t="n">
        <v>2</v>
      </c>
      <c r="BD281" s="8" t="n">
        <v>1</v>
      </c>
      <c r="BE281" s="8" t="n">
        <v>1</v>
      </c>
      <c r="BF281" s="8" t="n">
        <v>2</v>
      </c>
      <c r="BG281" s="8" t="n">
        <v>2</v>
      </c>
      <c r="BH281" s="8" t="n">
        <v>3</v>
      </c>
      <c r="BI281" s="8" t="n">
        <v>1</v>
      </c>
      <c r="BJ281" s="9" t="n">
        <v>2</v>
      </c>
      <c r="BK281" s="9"/>
      <c r="BL281" s="9"/>
      <c r="BM281" s="9" t="n">
        <v>8</v>
      </c>
      <c r="BN281" s="10"/>
      <c r="BO281" s="10"/>
      <c r="BP281" s="10" t="str">
        <f aca="false">IF(AND(ISNUMBER(BN281),ISNUMBER(BO281)),BN281+BO281,"")</f>
        <v/>
      </c>
      <c r="BQ281" s="10"/>
      <c r="BR281" s="10"/>
      <c r="BS281" s="10"/>
    </row>
  </sheetData>
  <autoFilter ref="A1:BS2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52"/>
    <col collapsed="false" customWidth="true" hidden="false" outlineLevel="0" max="4" min="4" style="0" width="80"/>
    <col collapsed="false" customWidth="true" hidden="false" outlineLevel="0" max="5" min="5" style="0" width="22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1" t="s">
        <v>125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</row>
    <row r="2" customFormat="false" ht="52.2" hidden="false" customHeight="false" outlineLevel="0" collapsed="false">
      <c r="A2" s="13" t="s">
        <v>0</v>
      </c>
      <c r="B2" s="13" t="s">
        <v>131</v>
      </c>
      <c r="C2" s="13" t="s">
        <v>132</v>
      </c>
      <c r="D2" s="13" t="s">
        <v>133</v>
      </c>
      <c r="E2" s="13" t="s">
        <v>134</v>
      </c>
      <c r="F2" s="13" t="s">
        <v>135</v>
      </c>
    </row>
    <row r="3" customFormat="false" ht="15" hidden="false" customHeight="false" outlineLevel="0" collapsed="false">
      <c r="A3" s="13" t="s">
        <v>1</v>
      </c>
      <c r="B3" s="13" t="s">
        <v>131</v>
      </c>
      <c r="C3" s="13" t="s">
        <v>136</v>
      </c>
      <c r="D3" s="13" t="s">
        <v>137</v>
      </c>
      <c r="E3" s="13" t="s">
        <v>134</v>
      </c>
      <c r="F3" s="13" t="s">
        <v>138</v>
      </c>
    </row>
    <row r="4" customFormat="false" ht="15" hidden="false" customHeight="false" outlineLevel="0" collapsed="false">
      <c r="A4" s="13" t="s">
        <v>2</v>
      </c>
      <c r="B4" s="13" t="s">
        <v>131</v>
      </c>
      <c r="C4" s="13" t="s">
        <v>139</v>
      </c>
      <c r="D4" s="13" t="s">
        <v>140</v>
      </c>
      <c r="E4" s="13" t="s">
        <v>134</v>
      </c>
      <c r="F4" s="13" t="s">
        <v>138</v>
      </c>
    </row>
    <row r="5" customFormat="false" ht="15" hidden="false" customHeight="false" outlineLevel="0" collapsed="false">
      <c r="A5" s="13" t="s">
        <v>3</v>
      </c>
      <c r="B5" s="13" t="s">
        <v>141</v>
      </c>
      <c r="C5" s="13" t="s">
        <v>142</v>
      </c>
      <c r="D5" s="13" t="s">
        <v>143</v>
      </c>
      <c r="E5" s="13" t="s">
        <v>134</v>
      </c>
      <c r="F5" s="13" t="s">
        <v>138</v>
      </c>
    </row>
    <row r="6" customFormat="false" ht="15" hidden="false" customHeight="false" outlineLevel="0" collapsed="false">
      <c r="A6" s="13" t="s">
        <v>4</v>
      </c>
      <c r="B6" s="13" t="s">
        <v>141</v>
      </c>
      <c r="C6" s="13" t="s">
        <v>144</v>
      </c>
      <c r="D6" s="13" t="s">
        <v>145</v>
      </c>
      <c r="E6" s="13" t="s">
        <v>134</v>
      </c>
      <c r="F6" s="13" t="s">
        <v>138</v>
      </c>
    </row>
    <row r="7" customFormat="false" ht="15" hidden="false" customHeight="false" outlineLevel="0" collapsed="false">
      <c r="A7" s="13" t="s">
        <v>5</v>
      </c>
      <c r="B7" s="13" t="s">
        <v>141</v>
      </c>
      <c r="C7" s="13" t="s">
        <v>146</v>
      </c>
      <c r="D7" s="13" t="s">
        <v>147</v>
      </c>
      <c r="E7" s="13" t="s">
        <v>134</v>
      </c>
      <c r="F7" s="13" t="s">
        <v>138</v>
      </c>
    </row>
    <row r="8" customFormat="false" ht="26.85" hidden="false" customHeight="false" outlineLevel="0" collapsed="false">
      <c r="A8" s="13" t="s">
        <v>6</v>
      </c>
      <c r="B8" s="13" t="s">
        <v>141</v>
      </c>
      <c r="C8" s="13" t="s">
        <v>148</v>
      </c>
      <c r="D8" s="13" t="s">
        <v>149</v>
      </c>
      <c r="E8" s="13" t="s">
        <v>150</v>
      </c>
      <c r="F8" s="13" t="s">
        <v>138</v>
      </c>
    </row>
    <row r="9" customFormat="false" ht="26.85" hidden="false" customHeight="false" outlineLevel="0" collapsed="false">
      <c r="A9" s="13" t="s">
        <v>7</v>
      </c>
      <c r="B9" s="13" t="s">
        <v>141</v>
      </c>
      <c r="C9" s="13" t="s">
        <v>151</v>
      </c>
      <c r="D9" s="13" t="s">
        <v>152</v>
      </c>
      <c r="E9" s="13" t="s">
        <v>150</v>
      </c>
      <c r="F9" s="13" t="s">
        <v>153</v>
      </c>
    </row>
    <row r="10" customFormat="false" ht="26.85" hidden="false" customHeight="false" outlineLevel="0" collapsed="false">
      <c r="A10" s="13" t="s">
        <v>8</v>
      </c>
      <c r="B10" s="13" t="s">
        <v>154</v>
      </c>
      <c r="C10" s="13" t="s">
        <v>155</v>
      </c>
      <c r="D10" s="13" t="s">
        <v>156</v>
      </c>
      <c r="E10" s="13" t="s">
        <v>157</v>
      </c>
      <c r="F10" s="13" t="s">
        <v>158</v>
      </c>
    </row>
    <row r="11" customFormat="false" ht="26.85" hidden="false" customHeight="false" outlineLevel="0" collapsed="false">
      <c r="A11" s="13" t="s">
        <v>9</v>
      </c>
      <c r="B11" s="13" t="s">
        <v>154</v>
      </c>
      <c r="C11" s="13" t="s">
        <v>159</v>
      </c>
      <c r="D11" s="13" t="s">
        <v>160</v>
      </c>
      <c r="E11" s="13" t="s">
        <v>157</v>
      </c>
      <c r="F11" s="13" t="s">
        <v>161</v>
      </c>
    </row>
    <row r="12" customFormat="false" ht="15" hidden="false" customHeight="false" outlineLevel="0" collapsed="false">
      <c r="A12" s="13" t="s">
        <v>10</v>
      </c>
      <c r="B12" s="13" t="s">
        <v>154</v>
      </c>
      <c r="C12" s="13" t="s">
        <v>139</v>
      </c>
      <c r="D12" s="13" t="s">
        <v>162</v>
      </c>
      <c r="E12" s="13" t="s">
        <v>134</v>
      </c>
      <c r="F12" s="13" t="s">
        <v>138</v>
      </c>
    </row>
    <row r="13" customFormat="false" ht="15" hidden="false" customHeight="false" outlineLevel="0" collapsed="false">
      <c r="A13" s="13" t="s">
        <v>11</v>
      </c>
      <c r="B13" s="13" t="s">
        <v>154</v>
      </c>
      <c r="C13" s="13" t="s">
        <v>163</v>
      </c>
      <c r="D13" s="13" t="s">
        <v>164</v>
      </c>
      <c r="E13" s="13" t="s">
        <v>134</v>
      </c>
      <c r="F13" s="13" t="s">
        <v>165</v>
      </c>
    </row>
    <row r="14" customFormat="false" ht="26.85" hidden="false" customHeight="false" outlineLevel="0" collapsed="false">
      <c r="A14" s="13" t="s">
        <v>12</v>
      </c>
      <c r="B14" s="13" t="s">
        <v>154</v>
      </c>
      <c r="C14" s="13" t="s">
        <v>166</v>
      </c>
      <c r="D14" s="13" t="s">
        <v>167</v>
      </c>
      <c r="E14" s="13" t="s">
        <v>150</v>
      </c>
      <c r="F14" s="13" t="s">
        <v>168</v>
      </c>
    </row>
    <row r="15" customFormat="false" ht="15" hidden="false" customHeight="false" outlineLevel="0" collapsed="false">
      <c r="A15" s="13" t="s">
        <v>13</v>
      </c>
      <c r="B15" s="13" t="s">
        <v>154</v>
      </c>
      <c r="C15" s="13" t="s">
        <v>139</v>
      </c>
      <c r="D15" s="13" t="s">
        <v>162</v>
      </c>
      <c r="E15" s="13" t="s">
        <v>150</v>
      </c>
      <c r="F15" s="13" t="s">
        <v>138</v>
      </c>
    </row>
    <row r="16" customFormat="false" ht="26.85" hidden="false" customHeight="false" outlineLevel="0" collapsed="false">
      <c r="A16" s="13" t="s">
        <v>14</v>
      </c>
      <c r="B16" s="13" t="s">
        <v>169</v>
      </c>
      <c r="C16" s="13" t="s">
        <v>170</v>
      </c>
      <c r="D16" s="13" t="s">
        <v>171</v>
      </c>
      <c r="E16" s="13" t="s">
        <v>150</v>
      </c>
      <c r="F16" s="13" t="s">
        <v>172</v>
      </c>
    </row>
    <row r="17" customFormat="false" ht="26.85" hidden="false" customHeight="false" outlineLevel="0" collapsed="false">
      <c r="A17" s="13" t="s">
        <v>15</v>
      </c>
      <c r="B17" s="13" t="s">
        <v>169</v>
      </c>
      <c r="C17" s="13" t="s">
        <v>173</v>
      </c>
      <c r="D17" s="13" t="s">
        <v>174</v>
      </c>
      <c r="E17" s="13" t="s">
        <v>150</v>
      </c>
      <c r="F17" s="13" t="s">
        <v>175</v>
      </c>
    </row>
    <row r="18" customFormat="false" ht="15" hidden="false" customHeight="false" outlineLevel="0" collapsed="false">
      <c r="A18" s="13" t="s">
        <v>16</v>
      </c>
      <c r="B18" s="13" t="s">
        <v>169</v>
      </c>
      <c r="C18" s="13" t="s">
        <v>176</v>
      </c>
      <c r="D18" s="13" t="s">
        <v>177</v>
      </c>
      <c r="E18" s="13" t="s">
        <v>150</v>
      </c>
      <c r="F18" s="13" t="s">
        <v>178</v>
      </c>
    </row>
    <row r="19" customFormat="false" ht="26.85" hidden="false" customHeight="false" outlineLevel="0" collapsed="false">
      <c r="A19" s="13" t="s">
        <v>17</v>
      </c>
      <c r="B19" s="13" t="s">
        <v>169</v>
      </c>
      <c r="C19" s="13" t="s">
        <v>179</v>
      </c>
      <c r="D19" s="13" t="s">
        <v>177</v>
      </c>
      <c r="E19" s="13" t="s">
        <v>150</v>
      </c>
      <c r="F19" s="13" t="s">
        <v>180</v>
      </c>
    </row>
    <row r="20" customFormat="false" ht="26.85" hidden="false" customHeight="false" outlineLevel="0" collapsed="false">
      <c r="A20" s="13" t="s">
        <v>18</v>
      </c>
      <c r="B20" s="13" t="s">
        <v>169</v>
      </c>
      <c r="C20" s="13" t="s">
        <v>181</v>
      </c>
      <c r="D20" s="13" t="s">
        <v>182</v>
      </c>
      <c r="E20" s="13" t="s">
        <v>150</v>
      </c>
      <c r="F20" s="13" t="s">
        <v>172</v>
      </c>
    </row>
    <row r="21" customFormat="false" ht="26.85" hidden="false" customHeight="false" outlineLevel="0" collapsed="false">
      <c r="A21" s="13" t="s">
        <v>19</v>
      </c>
      <c r="B21" s="13" t="s">
        <v>169</v>
      </c>
      <c r="C21" s="13" t="s">
        <v>173</v>
      </c>
      <c r="D21" s="13" t="s">
        <v>183</v>
      </c>
      <c r="E21" s="13" t="s">
        <v>150</v>
      </c>
      <c r="F21" s="13" t="s">
        <v>175</v>
      </c>
    </row>
    <row r="22" customFormat="false" ht="26.85" hidden="false" customHeight="false" outlineLevel="0" collapsed="false">
      <c r="A22" s="13" t="s">
        <v>20</v>
      </c>
      <c r="B22" s="13" t="s">
        <v>184</v>
      </c>
      <c r="C22" s="13" t="s">
        <v>185</v>
      </c>
      <c r="D22" s="13" t="s">
        <v>186</v>
      </c>
      <c r="E22" s="13" t="s">
        <v>134</v>
      </c>
      <c r="F22" s="13" t="s">
        <v>187</v>
      </c>
    </row>
    <row r="23" customFormat="false" ht="15" hidden="false" customHeight="false" outlineLevel="0" collapsed="false">
      <c r="A23" s="13" t="s">
        <v>21</v>
      </c>
      <c r="B23" s="13" t="s">
        <v>184</v>
      </c>
      <c r="C23" s="13" t="s">
        <v>188</v>
      </c>
      <c r="D23" s="13" t="s">
        <v>189</v>
      </c>
      <c r="E23" s="13" t="s">
        <v>134</v>
      </c>
      <c r="F23" s="13" t="s">
        <v>190</v>
      </c>
    </row>
    <row r="24" customFormat="false" ht="15" hidden="false" customHeight="false" outlineLevel="0" collapsed="false">
      <c r="A24" s="13" t="s">
        <v>22</v>
      </c>
      <c r="B24" s="13" t="s">
        <v>184</v>
      </c>
      <c r="C24" s="13" t="s">
        <v>191</v>
      </c>
      <c r="D24" s="13" t="s">
        <v>189</v>
      </c>
      <c r="E24" s="13" t="s">
        <v>134</v>
      </c>
      <c r="F24" s="13" t="s">
        <v>192</v>
      </c>
    </row>
    <row r="25" customFormat="false" ht="26.85" hidden="false" customHeight="false" outlineLevel="0" collapsed="false">
      <c r="A25" s="13" t="s">
        <v>23</v>
      </c>
      <c r="B25" s="13" t="s">
        <v>184</v>
      </c>
      <c r="C25" s="13" t="s">
        <v>193</v>
      </c>
      <c r="D25" s="13" t="s">
        <v>194</v>
      </c>
      <c r="E25" s="13" t="s">
        <v>134</v>
      </c>
      <c r="F25" s="13" t="s">
        <v>195</v>
      </c>
    </row>
    <row r="26" customFormat="false" ht="15" hidden="false" customHeight="false" outlineLevel="0" collapsed="false">
      <c r="A26" s="13" t="s">
        <v>24</v>
      </c>
      <c r="B26" s="13" t="s">
        <v>184</v>
      </c>
      <c r="C26" s="13" t="s">
        <v>139</v>
      </c>
      <c r="D26" s="13" t="s">
        <v>196</v>
      </c>
      <c r="E26" s="13" t="s">
        <v>134</v>
      </c>
      <c r="F26" s="13" t="s">
        <v>138</v>
      </c>
    </row>
    <row r="27" customFormat="false" ht="15" hidden="false" customHeight="false" outlineLevel="0" collapsed="false">
      <c r="A27" s="13" t="s">
        <v>25</v>
      </c>
      <c r="B27" s="13" t="s">
        <v>184</v>
      </c>
      <c r="C27" s="13" t="s">
        <v>197</v>
      </c>
      <c r="D27" s="13" t="s">
        <v>149</v>
      </c>
      <c r="E27" s="13" t="s">
        <v>134</v>
      </c>
      <c r="F27" s="13" t="s">
        <v>172</v>
      </c>
    </row>
    <row r="28" customFormat="false" ht="26.85" hidden="false" customHeight="false" outlineLevel="0" collapsed="false">
      <c r="A28" s="13" t="s">
        <v>26</v>
      </c>
      <c r="B28" s="13" t="s">
        <v>184</v>
      </c>
      <c r="C28" s="13" t="s">
        <v>198</v>
      </c>
      <c r="D28" s="13" t="s">
        <v>199</v>
      </c>
      <c r="E28" s="13" t="s">
        <v>157</v>
      </c>
      <c r="F28" s="13" t="s">
        <v>200</v>
      </c>
    </row>
    <row r="29" customFormat="false" ht="15" hidden="false" customHeight="false" outlineLevel="0" collapsed="false">
      <c r="A29" s="13" t="s">
        <v>27</v>
      </c>
      <c r="B29" s="13" t="s">
        <v>184</v>
      </c>
      <c r="C29" s="13" t="s">
        <v>139</v>
      </c>
      <c r="D29" s="13" t="s">
        <v>201</v>
      </c>
      <c r="E29" s="13" t="s">
        <v>134</v>
      </c>
      <c r="F29" s="13" t="s">
        <v>138</v>
      </c>
    </row>
    <row r="30" customFormat="false" ht="26.85" hidden="false" customHeight="false" outlineLevel="0" collapsed="false">
      <c r="A30" s="13" t="s">
        <v>28</v>
      </c>
      <c r="B30" s="13" t="s">
        <v>184</v>
      </c>
      <c r="C30" s="13" t="s">
        <v>173</v>
      </c>
      <c r="D30" s="13" t="s">
        <v>202</v>
      </c>
      <c r="E30" s="13" t="s">
        <v>134</v>
      </c>
      <c r="F30" s="13" t="s">
        <v>175</v>
      </c>
    </row>
    <row r="31" customFormat="false" ht="26.85" hidden="false" customHeight="false" outlineLevel="0" collapsed="false">
      <c r="A31" s="13" t="s">
        <v>29</v>
      </c>
      <c r="B31" s="13" t="s">
        <v>184</v>
      </c>
      <c r="C31" s="13" t="s">
        <v>203</v>
      </c>
      <c r="D31" s="13" t="s">
        <v>204</v>
      </c>
      <c r="E31" s="13" t="s">
        <v>157</v>
      </c>
      <c r="F31" s="13" t="s">
        <v>205</v>
      </c>
    </row>
    <row r="32" customFormat="false" ht="15" hidden="false" customHeight="false" outlineLevel="0" collapsed="false">
      <c r="A32" s="13" t="s">
        <v>30</v>
      </c>
      <c r="B32" s="13" t="s">
        <v>184</v>
      </c>
      <c r="C32" s="13" t="s">
        <v>206</v>
      </c>
      <c r="D32" s="13" t="s">
        <v>207</v>
      </c>
      <c r="E32" s="13" t="s">
        <v>134</v>
      </c>
      <c r="F32" s="13" t="s">
        <v>161</v>
      </c>
    </row>
    <row r="33" customFormat="false" ht="15" hidden="false" customHeight="false" outlineLevel="0" collapsed="false">
      <c r="A33" s="13" t="s">
        <v>31</v>
      </c>
      <c r="B33" s="13" t="s">
        <v>184</v>
      </c>
      <c r="C33" s="13" t="s">
        <v>208</v>
      </c>
      <c r="D33" s="13" t="s">
        <v>149</v>
      </c>
      <c r="E33" s="13" t="s">
        <v>134</v>
      </c>
      <c r="F33" s="13" t="s">
        <v>200</v>
      </c>
    </row>
    <row r="34" customFormat="false" ht="26.85" hidden="false" customHeight="false" outlineLevel="0" collapsed="false">
      <c r="A34" s="13" t="s">
        <v>32</v>
      </c>
      <c r="B34" s="13" t="s">
        <v>184</v>
      </c>
      <c r="C34" s="13" t="s">
        <v>209</v>
      </c>
      <c r="D34" s="13" t="s">
        <v>210</v>
      </c>
      <c r="E34" s="13" t="s">
        <v>150</v>
      </c>
      <c r="F34" s="13" t="s">
        <v>138</v>
      </c>
    </row>
    <row r="35" customFormat="false" ht="15" hidden="false" customHeight="false" outlineLevel="0" collapsed="false">
      <c r="A35" s="13" t="s">
        <v>33</v>
      </c>
      <c r="B35" s="13" t="s">
        <v>184</v>
      </c>
      <c r="C35" s="13" t="s">
        <v>211</v>
      </c>
      <c r="D35" s="13" t="s">
        <v>212</v>
      </c>
      <c r="E35" s="13" t="s">
        <v>150</v>
      </c>
      <c r="F35" s="13" t="s">
        <v>138</v>
      </c>
    </row>
    <row r="36" customFormat="false" ht="15" hidden="false" customHeight="false" outlineLevel="0" collapsed="false">
      <c r="A36" s="13" t="s">
        <v>34</v>
      </c>
      <c r="B36" s="13" t="s">
        <v>184</v>
      </c>
      <c r="C36" s="13" t="s">
        <v>213</v>
      </c>
      <c r="D36" s="13" t="s">
        <v>212</v>
      </c>
      <c r="E36" s="13" t="s">
        <v>150</v>
      </c>
      <c r="F36" s="13" t="s">
        <v>138</v>
      </c>
    </row>
    <row r="37" customFormat="false" ht="15" hidden="false" customHeight="false" outlineLevel="0" collapsed="false">
      <c r="A37" s="13" t="s">
        <v>35</v>
      </c>
      <c r="B37" s="13" t="s">
        <v>184</v>
      </c>
      <c r="C37" s="13" t="s">
        <v>214</v>
      </c>
      <c r="D37" s="13" t="s">
        <v>212</v>
      </c>
      <c r="E37" s="13" t="s">
        <v>150</v>
      </c>
      <c r="F37" s="13" t="s">
        <v>138</v>
      </c>
    </row>
    <row r="38" customFormat="false" ht="15" hidden="false" customHeight="false" outlineLevel="0" collapsed="false">
      <c r="A38" s="13" t="s">
        <v>36</v>
      </c>
      <c r="B38" s="13" t="s">
        <v>184</v>
      </c>
      <c r="C38" s="13" t="s">
        <v>215</v>
      </c>
      <c r="D38" s="13" t="s">
        <v>216</v>
      </c>
      <c r="E38" s="13" t="s">
        <v>150</v>
      </c>
      <c r="F38" s="13" t="s">
        <v>217</v>
      </c>
    </row>
    <row r="39" customFormat="false" ht="15" hidden="false" customHeight="false" outlineLevel="0" collapsed="false">
      <c r="A39" s="13" t="s">
        <v>37</v>
      </c>
      <c r="B39" s="13" t="s">
        <v>184</v>
      </c>
      <c r="C39" s="13" t="s">
        <v>218</v>
      </c>
      <c r="D39" s="13" t="s">
        <v>219</v>
      </c>
      <c r="E39" s="13" t="s">
        <v>150</v>
      </c>
      <c r="F39" s="13" t="s">
        <v>217</v>
      </c>
    </row>
    <row r="40" customFormat="false" ht="15" hidden="false" customHeight="false" outlineLevel="0" collapsed="false">
      <c r="A40" s="13" t="s">
        <v>38</v>
      </c>
      <c r="B40" s="13" t="s">
        <v>184</v>
      </c>
      <c r="C40" s="13" t="s">
        <v>220</v>
      </c>
      <c r="D40" s="13" t="s">
        <v>149</v>
      </c>
      <c r="E40" s="13" t="s">
        <v>150</v>
      </c>
      <c r="F40" s="13" t="s">
        <v>172</v>
      </c>
    </row>
    <row r="41" customFormat="false" ht="15" hidden="false" customHeight="false" outlineLevel="0" collapsed="false">
      <c r="A41" s="13" t="s">
        <v>39</v>
      </c>
      <c r="B41" s="13" t="s">
        <v>184</v>
      </c>
      <c r="C41" s="13" t="s">
        <v>221</v>
      </c>
      <c r="D41" s="13" t="s">
        <v>222</v>
      </c>
      <c r="E41" s="13" t="s">
        <v>150</v>
      </c>
      <c r="F41" s="13" t="s">
        <v>223</v>
      </c>
    </row>
    <row r="42" customFormat="false" ht="15" hidden="false" customHeight="false" outlineLevel="0" collapsed="false">
      <c r="A42" s="13" t="s">
        <v>40</v>
      </c>
      <c r="B42" s="13" t="s">
        <v>184</v>
      </c>
      <c r="C42" s="13" t="s">
        <v>224</v>
      </c>
      <c r="D42" s="13" t="s">
        <v>149</v>
      </c>
      <c r="E42" s="13" t="s">
        <v>150</v>
      </c>
      <c r="F42" s="13" t="s">
        <v>200</v>
      </c>
    </row>
    <row r="43" customFormat="false" ht="15" hidden="false" customHeight="false" outlineLevel="0" collapsed="false">
      <c r="A43" s="13" t="s">
        <v>41</v>
      </c>
      <c r="B43" s="13" t="s">
        <v>184</v>
      </c>
      <c r="C43" s="13" t="s">
        <v>225</v>
      </c>
      <c r="D43" s="13" t="s">
        <v>226</v>
      </c>
      <c r="E43" s="13" t="s">
        <v>150</v>
      </c>
      <c r="F43" s="13" t="s">
        <v>227</v>
      </c>
    </row>
    <row r="44" customFormat="false" ht="26.85" hidden="false" customHeight="false" outlineLevel="0" collapsed="false">
      <c r="A44" s="13" t="s">
        <v>42</v>
      </c>
      <c r="B44" s="13" t="s">
        <v>184</v>
      </c>
      <c r="C44" s="13" t="s">
        <v>228</v>
      </c>
      <c r="D44" s="13" t="s">
        <v>229</v>
      </c>
      <c r="E44" s="13" t="s">
        <v>150</v>
      </c>
      <c r="F44" s="13" t="s">
        <v>205</v>
      </c>
    </row>
    <row r="45" customFormat="false" ht="26.85" hidden="false" customHeight="false" outlineLevel="0" collapsed="false">
      <c r="A45" s="13" t="s">
        <v>43</v>
      </c>
      <c r="B45" s="13" t="s">
        <v>230</v>
      </c>
      <c r="C45" s="13" t="s">
        <v>231</v>
      </c>
      <c r="D45" s="13" t="s">
        <v>232</v>
      </c>
      <c r="E45" s="13" t="s">
        <v>157</v>
      </c>
      <c r="F45" s="13" t="s">
        <v>233</v>
      </c>
    </row>
    <row r="46" customFormat="false" ht="26.85" hidden="false" customHeight="false" outlineLevel="0" collapsed="false">
      <c r="A46" s="13" t="s">
        <v>44</v>
      </c>
      <c r="B46" s="13" t="s">
        <v>230</v>
      </c>
      <c r="C46" s="13" t="s">
        <v>234</v>
      </c>
      <c r="D46" s="13" t="s">
        <v>235</v>
      </c>
      <c r="E46" s="13" t="s">
        <v>157</v>
      </c>
      <c r="F46" s="13" t="s">
        <v>236</v>
      </c>
    </row>
    <row r="47" customFormat="false" ht="26.85" hidden="false" customHeight="false" outlineLevel="0" collapsed="false">
      <c r="A47" s="13" t="s">
        <v>45</v>
      </c>
      <c r="B47" s="13" t="s">
        <v>230</v>
      </c>
      <c r="C47" s="13" t="s">
        <v>237</v>
      </c>
      <c r="D47" s="13" t="s">
        <v>238</v>
      </c>
      <c r="E47" s="13" t="s">
        <v>157</v>
      </c>
      <c r="F47" s="13" t="s">
        <v>239</v>
      </c>
    </row>
    <row r="48" customFormat="false" ht="26.85" hidden="false" customHeight="false" outlineLevel="0" collapsed="false">
      <c r="A48" s="13" t="s">
        <v>46</v>
      </c>
      <c r="B48" s="13" t="s">
        <v>230</v>
      </c>
      <c r="C48" s="13" t="s">
        <v>240</v>
      </c>
      <c r="D48" s="13" t="s">
        <v>241</v>
      </c>
      <c r="E48" s="13" t="s">
        <v>157</v>
      </c>
      <c r="F48" s="13" t="s">
        <v>242</v>
      </c>
    </row>
    <row r="49" customFormat="false" ht="26.85" hidden="false" customHeight="false" outlineLevel="0" collapsed="false">
      <c r="A49" s="13" t="s">
        <v>47</v>
      </c>
      <c r="B49" s="13" t="s">
        <v>230</v>
      </c>
      <c r="C49" s="13" t="s">
        <v>243</v>
      </c>
      <c r="D49" s="13" t="s">
        <v>244</v>
      </c>
      <c r="E49" s="13" t="s">
        <v>157</v>
      </c>
      <c r="F49" s="13" t="s">
        <v>245</v>
      </c>
    </row>
    <row r="50" customFormat="false" ht="26.85" hidden="false" customHeight="false" outlineLevel="0" collapsed="false">
      <c r="A50" s="13" t="s">
        <v>48</v>
      </c>
      <c r="B50" s="13" t="s">
        <v>230</v>
      </c>
      <c r="C50" s="13" t="s">
        <v>246</v>
      </c>
      <c r="D50" s="13" t="s">
        <v>244</v>
      </c>
      <c r="E50" s="13" t="s">
        <v>157</v>
      </c>
      <c r="F50" s="13" t="s">
        <v>245</v>
      </c>
    </row>
    <row r="51" customFormat="false" ht="15" hidden="false" customHeight="false" outlineLevel="0" collapsed="false">
      <c r="A51" s="13" t="s">
        <v>49</v>
      </c>
      <c r="B51" s="13" t="s">
        <v>230</v>
      </c>
      <c r="C51" s="13" t="s">
        <v>247</v>
      </c>
      <c r="D51" s="13" t="s">
        <v>248</v>
      </c>
      <c r="E51" s="13" t="s">
        <v>150</v>
      </c>
      <c r="F51" s="13" t="s">
        <v>249</v>
      </c>
    </row>
    <row r="52" customFormat="false" ht="15" hidden="false" customHeight="false" outlineLevel="0" collapsed="false">
      <c r="A52" s="13" t="s">
        <v>50</v>
      </c>
      <c r="B52" s="13" t="s">
        <v>230</v>
      </c>
      <c r="C52" s="13" t="s">
        <v>250</v>
      </c>
      <c r="D52" s="13" t="s">
        <v>248</v>
      </c>
      <c r="E52" s="13" t="s">
        <v>150</v>
      </c>
      <c r="F52" s="13" t="s">
        <v>249</v>
      </c>
    </row>
    <row r="53" customFormat="false" ht="15" hidden="false" customHeight="false" outlineLevel="0" collapsed="false">
      <c r="A53" s="13" t="s">
        <v>51</v>
      </c>
      <c r="B53" s="13" t="s">
        <v>230</v>
      </c>
      <c r="C53" s="13" t="s">
        <v>251</v>
      </c>
      <c r="D53" s="13" t="s">
        <v>248</v>
      </c>
      <c r="E53" s="13" t="s">
        <v>150</v>
      </c>
      <c r="F53" s="13" t="s">
        <v>249</v>
      </c>
    </row>
    <row r="54" customFormat="false" ht="15" hidden="false" customHeight="false" outlineLevel="0" collapsed="false">
      <c r="A54" s="13" t="s">
        <v>52</v>
      </c>
      <c r="B54" s="13" t="s">
        <v>230</v>
      </c>
      <c r="C54" s="13" t="s">
        <v>252</v>
      </c>
      <c r="D54" s="13" t="s">
        <v>248</v>
      </c>
      <c r="E54" s="13" t="s">
        <v>150</v>
      </c>
      <c r="F54" s="13" t="s">
        <v>249</v>
      </c>
    </row>
    <row r="55" customFormat="false" ht="15" hidden="false" customHeight="false" outlineLevel="0" collapsed="false">
      <c r="A55" s="13" t="s">
        <v>53</v>
      </c>
      <c r="B55" s="13" t="s">
        <v>230</v>
      </c>
      <c r="C55" s="13" t="s">
        <v>253</v>
      </c>
      <c r="D55" s="13" t="s">
        <v>248</v>
      </c>
      <c r="E55" s="13" t="s">
        <v>150</v>
      </c>
      <c r="F55" s="13" t="s">
        <v>249</v>
      </c>
    </row>
    <row r="56" customFormat="false" ht="15" hidden="false" customHeight="false" outlineLevel="0" collapsed="false">
      <c r="A56" s="13" t="s">
        <v>54</v>
      </c>
      <c r="B56" s="13" t="s">
        <v>230</v>
      </c>
      <c r="C56" s="13" t="s">
        <v>254</v>
      </c>
      <c r="D56" s="13" t="s">
        <v>248</v>
      </c>
      <c r="E56" s="13" t="s">
        <v>150</v>
      </c>
      <c r="F56" s="13" t="s">
        <v>249</v>
      </c>
    </row>
    <row r="57" customFormat="false" ht="15" hidden="false" customHeight="false" outlineLevel="0" collapsed="false">
      <c r="A57" s="13" t="s">
        <v>55</v>
      </c>
      <c r="B57" s="13" t="s">
        <v>230</v>
      </c>
      <c r="C57" s="13" t="s">
        <v>255</v>
      </c>
      <c r="D57" s="13" t="s">
        <v>248</v>
      </c>
      <c r="E57" s="13" t="s">
        <v>150</v>
      </c>
      <c r="F57" s="13" t="s">
        <v>245</v>
      </c>
    </row>
    <row r="58" customFormat="false" ht="15" hidden="false" customHeight="false" outlineLevel="0" collapsed="false">
      <c r="A58" s="13" t="s">
        <v>56</v>
      </c>
      <c r="B58" s="13" t="s">
        <v>230</v>
      </c>
      <c r="C58" s="13" t="s">
        <v>256</v>
      </c>
      <c r="D58" s="13" t="s">
        <v>248</v>
      </c>
      <c r="E58" s="13" t="s">
        <v>150</v>
      </c>
      <c r="F58" s="13" t="s">
        <v>249</v>
      </c>
    </row>
    <row r="59" customFormat="false" ht="15" hidden="false" customHeight="false" outlineLevel="0" collapsed="false">
      <c r="A59" s="13" t="s">
        <v>57</v>
      </c>
      <c r="B59" s="13" t="s">
        <v>230</v>
      </c>
      <c r="C59" s="13" t="s">
        <v>257</v>
      </c>
      <c r="D59" s="13" t="s">
        <v>248</v>
      </c>
      <c r="E59" s="13" t="s">
        <v>150</v>
      </c>
      <c r="F59" s="13" t="s">
        <v>249</v>
      </c>
    </row>
    <row r="60" customFormat="false" ht="15" hidden="false" customHeight="false" outlineLevel="0" collapsed="false">
      <c r="A60" s="13" t="s">
        <v>58</v>
      </c>
      <c r="B60" s="13" t="s">
        <v>230</v>
      </c>
      <c r="C60" s="13" t="s">
        <v>258</v>
      </c>
      <c r="D60" s="13" t="s">
        <v>248</v>
      </c>
      <c r="E60" s="13" t="s">
        <v>150</v>
      </c>
      <c r="F60" s="13" t="s">
        <v>245</v>
      </c>
    </row>
    <row r="61" customFormat="false" ht="15" hidden="false" customHeight="false" outlineLevel="0" collapsed="false">
      <c r="A61" s="13" t="s">
        <v>59</v>
      </c>
      <c r="B61" s="13" t="s">
        <v>230</v>
      </c>
      <c r="C61" s="13" t="s">
        <v>259</v>
      </c>
      <c r="D61" s="13" t="s">
        <v>248</v>
      </c>
      <c r="E61" s="13" t="s">
        <v>150</v>
      </c>
      <c r="F61" s="13" t="s">
        <v>168</v>
      </c>
    </row>
    <row r="62" customFormat="false" ht="15" hidden="false" customHeight="false" outlineLevel="0" collapsed="false">
      <c r="A62" s="13" t="s">
        <v>60</v>
      </c>
      <c r="B62" s="13" t="s">
        <v>230</v>
      </c>
      <c r="C62" s="13" t="s">
        <v>260</v>
      </c>
      <c r="D62" s="13" t="s">
        <v>248</v>
      </c>
      <c r="E62" s="13" t="s">
        <v>150</v>
      </c>
      <c r="F62" s="13" t="s">
        <v>168</v>
      </c>
    </row>
    <row r="63" customFormat="false" ht="15" hidden="false" customHeight="false" outlineLevel="0" collapsed="false">
      <c r="A63" s="13" t="s">
        <v>61</v>
      </c>
      <c r="B63" s="13" t="s">
        <v>261</v>
      </c>
      <c r="C63" s="13" t="s">
        <v>262</v>
      </c>
      <c r="D63" s="13" t="s">
        <v>263</v>
      </c>
      <c r="E63" s="13" t="s">
        <v>150</v>
      </c>
      <c r="F63" s="13" t="s">
        <v>180</v>
      </c>
    </row>
    <row r="64" customFormat="false" ht="15" hidden="false" customHeight="false" outlineLevel="0" collapsed="false">
      <c r="A64" s="13" t="s">
        <v>62</v>
      </c>
      <c r="B64" s="13" t="s">
        <v>261</v>
      </c>
      <c r="C64" s="13" t="s">
        <v>264</v>
      </c>
      <c r="D64" s="13" t="s">
        <v>263</v>
      </c>
      <c r="E64" s="13" t="s">
        <v>150</v>
      </c>
      <c r="F64" s="13" t="s">
        <v>265</v>
      </c>
    </row>
    <row r="65" customFormat="false" ht="15" hidden="false" customHeight="false" outlineLevel="0" collapsed="false">
      <c r="A65" s="13" t="s">
        <v>63</v>
      </c>
      <c r="B65" s="13" t="s">
        <v>261</v>
      </c>
      <c r="C65" s="13" t="s">
        <v>266</v>
      </c>
      <c r="D65" s="13" t="s">
        <v>263</v>
      </c>
      <c r="E65" s="13" t="s">
        <v>150</v>
      </c>
      <c r="F65" s="13" t="s">
        <v>267</v>
      </c>
    </row>
    <row r="66" customFormat="false" ht="15" hidden="false" customHeight="false" outlineLevel="0" collapsed="false">
      <c r="A66" s="13" t="s">
        <v>64</v>
      </c>
      <c r="B66" s="13" t="s">
        <v>261</v>
      </c>
      <c r="C66" s="13" t="s">
        <v>268</v>
      </c>
      <c r="D66" s="13" t="s">
        <v>263</v>
      </c>
      <c r="E66" s="13" t="s">
        <v>150</v>
      </c>
      <c r="F66" s="13" t="s">
        <v>269</v>
      </c>
    </row>
    <row r="67" customFormat="false" ht="26.85" hidden="false" customHeight="false" outlineLevel="0" collapsed="false">
      <c r="A67" s="13" t="s">
        <v>65</v>
      </c>
      <c r="B67" s="13" t="s">
        <v>261</v>
      </c>
      <c r="C67" s="13" t="s">
        <v>270</v>
      </c>
      <c r="D67" s="13" t="s">
        <v>271</v>
      </c>
      <c r="E67" s="13" t="s">
        <v>150</v>
      </c>
      <c r="F67" s="13" t="s">
        <v>272</v>
      </c>
    </row>
    <row r="68" customFormat="false" ht="15" hidden="false" customHeight="false" outlineLevel="0" collapsed="false">
      <c r="A68" s="13" t="s">
        <v>66</v>
      </c>
      <c r="B68" s="13" t="s">
        <v>261</v>
      </c>
      <c r="C68" s="13" t="s">
        <v>273</v>
      </c>
      <c r="D68" s="13" t="s">
        <v>274</v>
      </c>
      <c r="E68" s="13" t="s">
        <v>150</v>
      </c>
      <c r="F68" s="13" t="s">
        <v>272</v>
      </c>
    </row>
    <row r="69" customFormat="false" ht="26.85" hidden="false" customHeight="false" outlineLevel="0" collapsed="false">
      <c r="A69" s="13" t="s">
        <v>67</v>
      </c>
      <c r="B69" s="13" t="s">
        <v>261</v>
      </c>
      <c r="C69" s="13" t="s">
        <v>173</v>
      </c>
      <c r="D69" s="13" t="s">
        <v>275</v>
      </c>
      <c r="E69" s="13" t="s">
        <v>150</v>
      </c>
      <c r="F69" s="13" t="s">
        <v>175</v>
      </c>
    </row>
    <row r="70" customFormat="false" ht="15" hidden="false" customHeight="false" outlineLevel="0" collapsed="false">
      <c r="A70" s="13" t="s">
        <v>68</v>
      </c>
      <c r="B70" s="13" t="s">
        <v>261</v>
      </c>
      <c r="C70" s="13" t="s">
        <v>276</v>
      </c>
      <c r="D70" s="13" t="s">
        <v>274</v>
      </c>
      <c r="E70" s="13" t="s">
        <v>150</v>
      </c>
      <c r="F70" s="13" t="s">
        <v>272</v>
      </c>
    </row>
    <row r="71" customFormat="false" ht="15" hidden="false" customHeight="false" outlineLevel="0" collapsed="false">
      <c r="A71" s="13" t="s">
        <v>69</v>
      </c>
      <c r="B71" s="13" t="s">
        <v>261</v>
      </c>
      <c r="C71" s="13" t="s">
        <v>277</v>
      </c>
      <c r="D71" s="13" t="s">
        <v>274</v>
      </c>
      <c r="E71" s="13" t="s">
        <v>150</v>
      </c>
      <c r="F71" s="13" t="s">
        <v>272</v>
      </c>
    </row>
    <row r="72" customFormat="false" ht="15" hidden="false" customHeight="false" outlineLevel="0" collapsed="false">
      <c r="A72" s="13" t="s">
        <v>70</v>
      </c>
      <c r="B72" s="13" t="s">
        <v>261</v>
      </c>
      <c r="C72" s="13" t="s">
        <v>278</v>
      </c>
      <c r="D72" s="13" t="s">
        <v>274</v>
      </c>
      <c r="E72" s="13" t="s">
        <v>150</v>
      </c>
      <c r="F72" s="13" t="s">
        <v>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44"/>
    <col collapsed="false" customWidth="true" hidden="false" outlineLevel="0" max="4" min="4" style="0" width="26"/>
  </cols>
  <sheetData>
    <row r="1" customFormat="false" ht="15" hidden="false" customHeight="false" outlineLevel="0" collapsed="false">
      <c r="A1" s="1" t="s">
        <v>279</v>
      </c>
      <c r="B1" s="1" t="s">
        <v>280</v>
      </c>
      <c r="C1" s="1" t="s">
        <v>281</v>
      </c>
      <c r="D1" s="1" t="s">
        <v>282</v>
      </c>
    </row>
    <row r="2" customFormat="false" ht="15" hidden="false" customHeight="false" outlineLevel="0" collapsed="false">
      <c r="A2" s="8" t="n">
        <v>0</v>
      </c>
      <c r="B2" s="8" t="s">
        <v>283</v>
      </c>
      <c r="C2" s="8" t="s">
        <v>283</v>
      </c>
      <c r="D2" s="14" t="n">
        <v>0</v>
      </c>
    </row>
    <row r="3" customFormat="false" ht="15" hidden="false" customHeight="false" outlineLevel="0" collapsed="false">
      <c r="A3" s="8" t="n">
        <v>1</v>
      </c>
      <c r="B3" s="8" t="s">
        <v>284</v>
      </c>
      <c r="C3" s="8" t="s">
        <v>285</v>
      </c>
      <c r="D3" s="14" t="n">
        <v>0.1</v>
      </c>
    </row>
    <row r="4" customFormat="false" ht="15" hidden="false" customHeight="false" outlineLevel="0" collapsed="false">
      <c r="A4" s="8" t="n">
        <v>2</v>
      </c>
      <c r="B4" s="8" t="s">
        <v>286</v>
      </c>
      <c r="C4" s="8" t="s">
        <v>287</v>
      </c>
      <c r="D4" s="14" t="n">
        <v>0.3</v>
      </c>
    </row>
    <row r="5" customFormat="false" ht="15" hidden="false" customHeight="false" outlineLevel="0" collapsed="false">
      <c r="A5" s="8" t="n">
        <v>3</v>
      </c>
      <c r="B5" s="8" t="s">
        <v>288</v>
      </c>
      <c r="C5" s="8" t="s">
        <v>289</v>
      </c>
      <c r="D5" s="14" t="n">
        <v>0.5</v>
      </c>
    </row>
    <row r="6" customFormat="false" ht="15" hidden="false" customHeight="false" outlineLevel="0" collapsed="false">
      <c r="A6" s="8" t="n">
        <v>4</v>
      </c>
      <c r="B6" s="8" t="s">
        <v>290</v>
      </c>
      <c r="C6" s="8" t="s">
        <v>291</v>
      </c>
      <c r="D6" s="14" t="n">
        <v>0.7</v>
      </c>
    </row>
    <row r="7" customFormat="false" ht="15" hidden="false" customHeight="false" outlineLevel="0" collapsed="false">
      <c r="A7" s="8" t="n">
        <v>5</v>
      </c>
      <c r="B7" s="8" t="s">
        <v>292</v>
      </c>
      <c r="C7" s="8" t="s">
        <v>293</v>
      </c>
      <c r="D7" s="14" t="n">
        <v>1</v>
      </c>
    </row>
    <row r="9" customFormat="false" ht="15" hidden="false" customHeight="false" outlineLevel="0" collapsed="false">
      <c r="A9" s="8" t="s">
        <v>294</v>
      </c>
    </row>
    <row r="10" customFormat="false" ht="15" hidden="false" customHeight="false" outlineLevel="0" collapsed="false">
      <c r="A10" s="8" t="s">
        <v>295</v>
      </c>
    </row>
    <row r="11" customFormat="false" ht="15" hidden="false" customHeight="false" outlineLevel="0" collapsed="false">
      <c r="A11" s="8" t="s">
        <v>296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0"/>
  </cols>
  <sheetData>
    <row r="1" customFormat="false" ht="39.55" hidden="false" customHeight="false" outlineLevel="0" collapsed="false">
      <c r="A1" s="15" t="s">
        <v>297</v>
      </c>
      <c r="B1" s="13"/>
    </row>
    <row r="2" customFormat="false" ht="26.85" hidden="false" customHeight="false" outlineLevel="0" collapsed="false">
      <c r="A2" s="16" t="s">
        <v>5</v>
      </c>
      <c r="B2" s="13" t="s">
        <v>298</v>
      </c>
    </row>
    <row r="3" customFormat="false" ht="15" hidden="false" customHeight="false" outlineLevel="0" collapsed="false">
      <c r="A3" s="16" t="s">
        <v>20</v>
      </c>
      <c r="B3" s="13" t="s">
        <v>299</v>
      </c>
    </row>
    <row r="4" customFormat="false" ht="15" hidden="false" customHeight="false" outlineLevel="0" collapsed="false">
      <c r="A4" s="16" t="s">
        <v>8</v>
      </c>
      <c r="B4" s="13" t="s">
        <v>300</v>
      </c>
    </row>
    <row r="5" customFormat="false" ht="15" hidden="false" customHeight="false" outlineLevel="0" collapsed="false">
      <c r="A5" s="16" t="s">
        <v>22</v>
      </c>
      <c r="B5" s="13" t="s">
        <v>301</v>
      </c>
    </row>
    <row r="6" customFormat="false" ht="26.85" hidden="false" customHeight="false" outlineLevel="0" collapsed="false">
      <c r="A6" s="16" t="s">
        <v>26</v>
      </c>
      <c r="B6" s="13" t="s">
        <v>302</v>
      </c>
    </row>
    <row r="7" customFormat="false" ht="15" hidden="false" customHeight="false" outlineLevel="0" collapsed="false">
      <c r="A7" s="16" t="s">
        <v>25</v>
      </c>
      <c r="B7" s="13" t="s">
        <v>303</v>
      </c>
    </row>
    <row r="8" customFormat="false" ht="15" hidden="false" customHeight="false" outlineLevel="0" collapsed="false">
      <c r="A8" s="16" t="s">
        <v>29</v>
      </c>
      <c r="B8" s="13" t="s">
        <v>304</v>
      </c>
    </row>
    <row r="9" customFormat="false" ht="15" hidden="false" customHeight="false" outlineLevel="0" collapsed="false">
      <c r="A9" s="16" t="s">
        <v>105</v>
      </c>
      <c r="B9" s="13" t="s">
        <v>305</v>
      </c>
    </row>
    <row r="10" customFormat="false" ht="15" hidden="false" customHeight="false" outlineLevel="0" collapsed="false">
      <c r="A10" s="16" t="s">
        <v>306</v>
      </c>
      <c r="B10" s="13" t="s">
        <v>307</v>
      </c>
    </row>
    <row r="11" customFormat="false" ht="15" hidden="false" customHeight="false" outlineLevel="0" collapsed="false">
      <c r="A11" s="13"/>
      <c r="B11" s="13"/>
    </row>
    <row r="12" customFormat="false" ht="15" hidden="false" customHeight="false" outlineLevel="0" collapsed="false">
      <c r="A12" s="15" t="s">
        <v>308</v>
      </c>
      <c r="B12" s="13"/>
    </row>
    <row r="13" customFormat="false" ht="26.85" hidden="false" customHeight="false" outlineLevel="0" collapsed="false">
      <c r="A13" s="16" t="s">
        <v>309</v>
      </c>
      <c r="B13" s="13" t="s">
        <v>310</v>
      </c>
    </row>
    <row r="14" customFormat="false" ht="15" hidden="false" customHeight="false" outlineLevel="0" collapsed="false">
      <c r="A14" s="16" t="s">
        <v>311</v>
      </c>
      <c r="B14" s="13" t="s">
        <v>312</v>
      </c>
    </row>
    <row r="15" customFormat="false" ht="39.55" hidden="false" customHeight="false" outlineLevel="0" collapsed="false">
      <c r="A15" s="16" t="s">
        <v>313</v>
      </c>
      <c r="B15" s="13" t="s">
        <v>314</v>
      </c>
    </row>
    <row r="16" customFormat="false" ht="15" hidden="false" customHeight="false" outlineLevel="0" collapsed="false">
      <c r="A16" s="16" t="s">
        <v>28</v>
      </c>
      <c r="B16" s="13" t="s">
        <v>315</v>
      </c>
    </row>
    <row r="17" customFormat="false" ht="15" hidden="false" customHeight="false" outlineLevel="0" collapsed="false">
      <c r="A17" s="13"/>
      <c r="B17" s="13"/>
    </row>
    <row r="18" customFormat="false" ht="39.55" hidden="false" customHeight="false" outlineLevel="0" collapsed="false">
      <c r="A18" s="15" t="s">
        <v>316</v>
      </c>
      <c r="B18" s="13"/>
    </row>
    <row r="19" customFormat="false" ht="39.55" hidden="false" customHeight="false" outlineLevel="0" collapsed="false">
      <c r="A19" s="16" t="s">
        <v>317</v>
      </c>
      <c r="B19" s="13" t="s">
        <v>318</v>
      </c>
    </row>
    <row r="20" customFormat="false" ht="39.55" hidden="false" customHeight="false" outlineLevel="0" collapsed="false">
      <c r="A20" s="16" t="s">
        <v>319</v>
      </c>
      <c r="B20" s="13" t="s">
        <v>320</v>
      </c>
    </row>
    <row r="21" customFormat="false" ht="39.55" hidden="false" customHeight="false" outlineLevel="0" collapsed="false">
      <c r="A21" s="16" t="s">
        <v>321</v>
      </c>
      <c r="B21" s="13" t="s">
        <v>322</v>
      </c>
    </row>
    <row r="22" customFormat="false" ht="26.85" hidden="false" customHeight="false" outlineLevel="0" collapsed="false">
      <c r="A22" s="16" t="s">
        <v>323</v>
      </c>
      <c r="B22" s="13" t="s">
        <v>324</v>
      </c>
    </row>
    <row r="23" customFormat="false" ht="52.2" hidden="false" customHeight="false" outlineLevel="0" collapsed="false">
      <c r="A23" s="16" t="s">
        <v>325</v>
      </c>
      <c r="B23" s="13" t="s">
        <v>326</v>
      </c>
    </row>
    <row r="24" customFormat="false" ht="15" hidden="false" customHeight="false" outlineLevel="0" collapsed="false">
      <c r="A24" s="16" t="s">
        <v>39</v>
      </c>
      <c r="B24" s="13" t="s">
        <v>327</v>
      </c>
    </row>
    <row r="25" customFormat="false" ht="15" hidden="false" customHeight="false" outlineLevel="0" collapsed="false">
      <c r="A25" s="16" t="s">
        <v>328</v>
      </c>
      <c r="B25" s="13" t="s">
        <v>329</v>
      </c>
    </row>
    <row r="26" customFormat="false" ht="26.85" hidden="false" customHeight="false" outlineLevel="0" collapsed="false">
      <c r="A26" s="16" t="s">
        <v>330</v>
      </c>
      <c r="B26" s="13" t="s">
        <v>331</v>
      </c>
    </row>
    <row r="27" customFormat="false" ht="15" hidden="false" customHeight="false" outlineLevel="0" collapsed="false">
      <c r="A27" s="16" t="s">
        <v>42</v>
      </c>
      <c r="B27" s="13" t="s">
        <v>332</v>
      </c>
    </row>
    <row r="28" customFormat="false" ht="26.85" hidden="false" customHeight="false" outlineLevel="0" collapsed="false">
      <c r="A28" s="16" t="s">
        <v>333</v>
      </c>
      <c r="B28" s="13" t="s">
        <v>334</v>
      </c>
    </row>
    <row r="29" customFormat="false" ht="15" hidden="false" customHeight="false" outlineLevel="0" collapsed="false">
      <c r="A29" s="13"/>
      <c r="B29" s="13"/>
    </row>
    <row r="30" customFormat="false" ht="15" hidden="false" customHeight="false" outlineLevel="0" collapsed="false">
      <c r="A30" s="15" t="s">
        <v>335</v>
      </c>
      <c r="B30" s="13"/>
    </row>
    <row r="31" customFormat="false" ht="15" hidden="false" customHeight="false" outlineLevel="0" collapsed="false">
      <c r="A31" s="16" t="s">
        <v>336</v>
      </c>
      <c r="B31" s="13" t="s">
        <v>337</v>
      </c>
    </row>
    <row r="32" customFormat="false" ht="26.85" hidden="false" customHeight="false" outlineLevel="0" collapsed="false">
      <c r="A32" s="16" t="s">
        <v>338</v>
      </c>
      <c r="B32" s="13" t="s">
        <v>339</v>
      </c>
    </row>
    <row r="33" customFormat="false" ht="15" hidden="false" customHeight="false" outlineLevel="0" collapsed="false">
      <c r="A33" s="16" t="s">
        <v>340</v>
      </c>
      <c r="B33" s="13" t="s">
        <v>341</v>
      </c>
    </row>
    <row r="34" customFormat="false" ht="26.85" hidden="false" customHeight="false" outlineLevel="0" collapsed="false">
      <c r="A34" s="16" t="s">
        <v>342</v>
      </c>
      <c r="B34" s="13" t="s">
        <v>343</v>
      </c>
    </row>
    <row r="35" customFormat="false" ht="26.85" hidden="false" customHeight="false" outlineLevel="0" collapsed="false">
      <c r="A35" s="16" t="s">
        <v>344</v>
      </c>
      <c r="B35" s="13" t="s">
        <v>345</v>
      </c>
    </row>
    <row r="36" customFormat="false" ht="39.55" hidden="false" customHeight="false" outlineLevel="0" collapsed="false">
      <c r="A36" s="16" t="s">
        <v>346</v>
      </c>
      <c r="B36" s="13" t="s">
        <v>347</v>
      </c>
    </row>
    <row r="37" customFormat="false" ht="15" hidden="false" customHeight="false" outlineLevel="0" collapsed="false">
      <c r="A37" s="16" t="s">
        <v>348</v>
      </c>
      <c r="B37" s="13" t="s">
        <v>349</v>
      </c>
    </row>
    <row r="38" customFormat="false" ht="26.85" hidden="false" customHeight="false" outlineLevel="0" collapsed="false">
      <c r="A38" s="16" t="s">
        <v>350</v>
      </c>
      <c r="B38" s="13" t="s">
        <v>351</v>
      </c>
    </row>
    <row r="39" customFormat="false" ht="15" hidden="false" customHeight="false" outlineLevel="0" collapsed="false">
      <c r="A39" s="16" t="s">
        <v>352</v>
      </c>
      <c r="B39" s="13" t="s">
        <v>353</v>
      </c>
    </row>
    <row r="40" customFormat="false" ht="15" hidden="false" customHeight="false" outlineLevel="0" collapsed="false">
      <c r="A40" s="16" t="s">
        <v>354</v>
      </c>
      <c r="B40" s="13" t="s">
        <v>355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2026-10-05T16:43:43Z</dcterms:created>
  <dc:creator>openpyxl</dc:creator>
  <dc:description/>
  <dc:language>en-US</dc:language>
  <cp:lastModifiedBy/>
  <dcterms:modified xsi:type="dcterms:W3CDTF">2026-10-05T16:45:11Z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